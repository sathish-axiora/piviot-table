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xiora User-09\Downloads\"/>
    </mc:Choice>
  </mc:AlternateContent>
  <xr:revisionPtr revIDLastSave="0" documentId="13_ncr:1_{86E553CF-D312-4E3E-80C0-79EAB54C6FF4}" xr6:coauthVersionLast="47" xr6:coauthVersionMax="47" xr10:uidLastSave="{00000000-0000-0000-0000-000000000000}"/>
  <bookViews>
    <workbookView xWindow="-110" yWindow="-110" windowWidth="19420" windowHeight="10300" xr2:uid="{ADB4FD3C-C9D3-4F81-80E1-333BD75800CB}"/>
  </bookViews>
  <sheets>
    <sheet name="piviot table of orders" sheetId="4" r:id="rId1"/>
    <sheet name="orders" sheetId="2" r:id="rId2"/>
    <sheet name="products" sheetId="1" r:id="rId3"/>
    <sheet name="customers" sheetId="3" r:id="rId4"/>
  </sheets>
  <calcPr calcId="191028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G2" i="2"/>
  <c r="M9" i="2"/>
  <c r="I9" i="2"/>
  <c r="I17" i="2"/>
  <c r="I25" i="2"/>
  <c r="I33" i="2"/>
  <c r="I41" i="2"/>
  <c r="I49" i="2"/>
  <c r="I57" i="2"/>
  <c r="I65" i="2"/>
  <c r="I73" i="2"/>
  <c r="I81" i="2"/>
  <c r="I89" i="2"/>
  <c r="I97" i="2"/>
  <c r="I105" i="2"/>
  <c r="H2" i="2"/>
  <c r="M7" i="2" s="1"/>
  <c r="H3" i="2"/>
  <c r="I3" i="2" s="1"/>
  <c r="H4" i="2"/>
  <c r="M8" i="2" s="1"/>
  <c r="H5" i="2"/>
  <c r="I5" i="2" s="1"/>
  <c r="H6" i="2"/>
  <c r="I6" i="2" s="1"/>
  <c r="H7" i="2"/>
  <c r="I7" i="2" s="1"/>
  <c r="H8" i="2"/>
  <c r="I8" i="2" s="1"/>
  <c r="H9" i="2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H26" i="2"/>
  <c r="I26" i="2" s="1"/>
  <c r="H27" i="2"/>
  <c r="I27" i="2" s="1"/>
  <c r="H28" i="2"/>
  <c r="I28" i="2" s="1"/>
  <c r="H29" i="2"/>
  <c r="I29" i="2" s="1"/>
  <c r="H30" i="2"/>
  <c r="I30" i="2" s="1"/>
  <c r="H31" i="2"/>
  <c r="I31" i="2" s="1"/>
  <c r="H32" i="2"/>
  <c r="I32" i="2" s="1"/>
  <c r="H33" i="2"/>
  <c r="H34" i="2"/>
  <c r="I34" i="2" s="1"/>
  <c r="H35" i="2"/>
  <c r="I35" i="2" s="1"/>
  <c r="H36" i="2"/>
  <c r="I36" i="2" s="1"/>
  <c r="H37" i="2"/>
  <c r="I37" i="2" s="1"/>
  <c r="H38" i="2"/>
  <c r="I38" i="2" s="1"/>
  <c r="H39" i="2"/>
  <c r="I39" i="2" s="1"/>
  <c r="H40" i="2"/>
  <c r="I40" i="2" s="1"/>
  <c r="H41" i="2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H50" i="2"/>
  <c r="I50" i="2" s="1"/>
  <c r="H51" i="2"/>
  <c r="I51" i="2" s="1"/>
  <c r="H52" i="2"/>
  <c r="I52" i="2" s="1"/>
  <c r="H53" i="2"/>
  <c r="I53" i="2" s="1"/>
  <c r="H54" i="2"/>
  <c r="I54" i="2" s="1"/>
  <c r="H55" i="2"/>
  <c r="I55" i="2" s="1"/>
  <c r="H56" i="2"/>
  <c r="I56" i="2" s="1"/>
  <c r="H57" i="2"/>
  <c r="H58" i="2"/>
  <c r="I58" i="2" s="1"/>
  <c r="H59" i="2"/>
  <c r="I59" i="2" s="1"/>
  <c r="H60" i="2"/>
  <c r="I60" i="2" s="1"/>
  <c r="H61" i="2"/>
  <c r="I61" i="2" s="1"/>
  <c r="H62" i="2"/>
  <c r="I62" i="2" s="1"/>
  <c r="H63" i="2"/>
  <c r="I63" i="2" s="1"/>
  <c r="H64" i="2"/>
  <c r="I64" i="2" s="1"/>
  <c r="H65" i="2"/>
  <c r="H66" i="2"/>
  <c r="I66" i="2" s="1"/>
  <c r="H67" i="2"/>
  <c r="I67" i="2" s="1"/>
  <c r="H68" i="2"/>
  <c r="I68" i="2" s="1"/>
  <c r="H69" i="2"/>
  <c r="I69" i="2" s="1"/>
  <c r="H70" i="2"/>
  <c r="I70" i="2" s="1"/>
  <c r="H71" i="2"/>
  <c r="I71" i="2" s="1"/>
  <c r="H72" i="2"/>
  <c r="I72" i="2" s="1"/>
  <c r="H73" i="2"/>
  <c r="H74" i="2"/>
  <c r="I74" i="2" s="1"/>
  <c r="H75" i="2"/>
  <c r="I75" i="2" s="1"/>
  <c r="H76" i="2"/>
  <c r="I76" i="2" s="1"/>
  <c r="H77" i="2"/>
  <c r="I77" i="2" s="1"/>
  <c r="H78" i="2"/>
  <c r="I78" i="2" s="1"/>
  <c r="H79" i="2"/>
  <c r="I79" i="2" s="1"/>
  <c r="H80" i="2"/>
  <c r="I80" i="2" s="1"/>
  <c r="H81" i="2"/>
  <c r="H82" i="2"/>
  <c r="I82" i="2" s="1"/>
  <c r="H83" i="2"/>
  <c r="I83" i="2" s="1"/>
  <c r="H84" i="2"/>
  <c r="I84" i="2" s="1"/>
  <c r="H85" i="2"/>
  <c r="I85" i="2" s="1"/>
  <c r="H86" i="2"/>
  <c r="I86" i="2" s="1"/>
  <c r="H87" i="2"/>
  <c r="I87" i="2" s="1"/>
  <c r="H88" i="2"/>
  <c r="I88" i="2" s="1"/>
  <c r="H89" i="2"/>
  <c r="H90" i="2"/>
  <c r="I90" i="2" s="1"/>
  <c r="H91" i="2"/>
  <c r="I91" i="2" s="1"/>
  <c r="H92" i="2"/>
  <c r="I92" i="2" s="1"/>
  <c r="H93" i="2"/>
  <c r="I93" i="2" s="1"/>
  <c r="H94" i="2"/>
  <c r="I94" i="2" s="1"/>
  <c r="H95" i="2"/>
  <c r="I95" i="2" s="1"/>
  <c r="H96" i="2"/>
  <c r="I96" i="2" s="1"/>
  <c r="H97" i="2"/>
  <c r="H98" i="2"/>
  <c r="I98" i="2" s="1"/>
  <c r="H99" i="2"/>
  <c r="I99" i="2" s="1"/>
  <c r="H100" i="2"/>
  <c r="I100" i="2" s="1"/>
  <c r="H101" i="2"/>
  <c r="I101" i="2" s="1"/>
  <c r="H102" i="2"/>
  <c r="I102" i="2" s="1"/>
  <c r="H103" i="2"/>
  <c r="I103" i="2" s="1"/>
  <c r="H104" i="2"/>
  <c r="I104" i="2" s="1"/>
  <c r="H105" i="2"/>
  <c r="H106" i="2"/>
  <c r="I106" i="2" s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I4" i="2" l="1"/>
  <c r="I2" i="2"/>
  <c r="M10" i="2"/>
  <c r="M11" i="2"/>
</calcChain>
</file>

<file path=xl/sharedStrings.xml><?xml version="1.0" encoding="utf-8"?>
<sst xmlns="http://schemas.openxmlformats.org/spreadsheetml/2006/main" count="68" uniqueCount="55">
  <si>
    <t>order_id</t>
  </si>
  <si>
    <t>date</t>
  </si>
  <si>
    <t>customer_id</t>
  </si>
  <si>
    <t>product_id</t>
  </si>
  <si>
    <t>qty</t>
  </si>
  <si>
    <t>product_name</t>
  </si>
  <si>
    <t>calories</t>
  </si>
  <si>
    <t>protein</t>
  </si>
  <si>
    <t>carbs</t>
  </si>
  <si>
    <t>fat</t>
  </si>
  <si>
    <t xml:space="preserve">  Apple</t>
  </si>
  <si>
    <t>Banana</t>
  </si>
  <si>
    <t>Avocado</t>
  </si>
  <si>
    <t>Broccoli</t>
  </si>
  <si>
    <t>Chicken</t>
  </si>
  <si>
    <t>Fish</t>
  </si>
  <si>
    <t>Rice</t>
  </si>
  <si>
    <t>Pasta</t>
  </si>
  <si>
    <t>Carrot</t>
  </si>
  <si>
    <t>Celery</t>
  </si>
  <si>
    <t xml:space="preserve">   Cheese</t>
  </si>
  <si>
    <t>Chocolate Cake</t>
  </si>
  <si>
    <t>Yogurt</t>
  </si>
  <si>
    <t xml:space="preserve"> Donut</t>
  </si>
  <si>
    <t>Eggs</t>
  </si>
  <si>
    <t>French Fries</t>
  </si>
  <si>
    <t xml:space="preserve">      Grapefruit</t>
  </si>
  <si>
    <t>Grape Juice</t>
  </si>
  <si>
    <t>Grilled Cheese</t>
  </si>
  <si>
    <t xml:space="preserve">          Hamburger</t>
  </si>
  <si>
    <t>Lisa</t>
  </si>
  <si>
    <t>MiKe</t>
  </si>
  <si>
    <t>price (in INR)</t>
  </si>
  <si>
    <t>customer_name</t>
  </si>
  <si>
    <t>Jay</t>
  </si>
  <si>
    <t>John</t>
  </si>
  <si>
    <t>Tim</t>
  </si>
  <si>
    <t>Ravi</t>
  </si>
  <si>
    <t>Ahmed</t>
  </si>
  <si>
    <t>Bruce</t>
  </si>
  <si>
    <t>Mahesh</t>
  </si>
  <si>
    <t>Anthony</t>
  </si>
  <si>
    <t>product name</t>
  </si>
  <si>
    <t>price</t>
  </si>
  <si>
    <t>total price</t>
  </si>
  <si>
    <t>sum price</t>
  </si>
  <si>
    <t>Avg price</t>
  </si>
  <si>
    <t>count</t>
  </si>
  <si>
    <t>count eggs</t>
  </si>
  <si>
    <t>sum eggs</t>
  </si>
  <si>
    <t>Calories</t>
  </si>
  <si>
    <t>Row Labels</t>
  </si>
  <si>
    <t>Grand Total</t>
  </si>
  <si>
    <t>(All)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</si>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</sst>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49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164" formatCode="_ [$₹-4009]\ * #,##0.00_ ;_ [$₹-4009]\ * \-#,##0.00_ ;_ [$₹-4009]\ * &quot;-&quot;??_ ;_ @_ 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30" formatCode="@"/>
    </dxf>
    <dxf>
      <numFmt numFmtId="19" formatCode="dd/mm/yyyy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[product_sales 2.xlsx]piviot table of orders!PivotTable1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'piviot table of orders'!$B$3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'piviot table of orders'!$A$4:$A$13</c:f>
              <c:strCache>
                <c:ptCount val="9"/>
                <c:pt idx="0">
                  <c:v>Ahmed</c:v>
                </c:pt>
                <c:pt idx="1">
                  <c:v>Anthony</c:v>
                </c:pt>
                <c:pt idx="2">
                  <c:v>Bruce</c:v>
                </c:pt>
                <c:pt idx="3">
                  <c:v>Jay</c:v>
                </c:pt>
                <c:pt idx="4">
                  <c:v>John</c:v>
                </c:pt>
                <c:pt idx="5">
                  <c:v>Lisa</c:v>
                </c:pt>
                <c:pt idx="6">
                  <c:v>MiKe</c:v>
                </c:pt>
                <c:pt idx="7">
                  <c:v>Ravi</c:v>
                </c:pt>
                <c:pt idx="8">
                  <c:v>Tim</c:v>
                </c:pt>
              </c:strCache>
            </c:strRef>
          </c:cat>
          <c:val>
            <c:numRef>
              <c:f>'piviot table of orders'!$B$4:$B$13</c:f>
              <c:numCache>
                <c:formatCode>_ [$₹-4009]\ * #,##0.00_ ;_ [$₹-4009]\ * \-#,##0.00_ ;_ [$₹-4009]\ * "-"??_ ;_ @_ </c:formatCode>
                <c:ptCount val="9"/>
                <c:pt idx="0">
                  <c:v>1175</c:v>
                </c:pt>
                <c:pt idx="1">
                  <c:v>555</c:v>
                </c:pt>
                <c:pt idx="2">
                  <c:v>1235</c:v>
                </c:pt>
                <c:pt idx="3">
                  <c:v>785</c:v>
                </c:pt>
                <c:pt idx="4">
                  <c:v>480</c:v>
                </c:pt>
                <c:pt idx="5">
                  <c:v>925</c:v>
                </c:pt>
                <c:pt idx="6">
                  <c:v>1990</c:v>
                </c:pt>
                <c:pt idx="7">
                  <c:v>835</c:v>
                </c:pt>
                <c:pt idx="8">
                  <c:v>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1A-430F-AFBD-AC417B0F8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596032"/>
        <c:axId val="472601072"/>
      </c:barChart>
      <c:catAx>
        <c:axId val="47259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601072"/>
        <c:crosses val="autoZero"/>
        <c:auto val="1"/>
        <c:lblAlgn val="ctr"/>
        <c:lblOffset val="100"/>
        <c:noMultiLvlLbl val="0"/>
      </c:catAx>
      <c:valAx>
        <c:axId val="4726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59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244475</xdr:colOff>
      <xdr:row>3</xdr:row>
      <xdr:rowOff>6350</xdr:rowOff>
    </xdr:from>
    <xdr:to>
      <xdr:col>13</xdr:col>
      <xdr:colOff>288925</xdr:colOff>
      <xdr:row>17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EB691C2-26A3-18EB-0907-F83F5CEBC3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xiora User-09" refreshedDate="46098.366737731485" createdVersion="8" refreshedVersion="8" minRefreshableVersion="3" recordCount="105" xr:uid="{E0B99AFE-8370-4A58-9C32-4BDAFB2326E3}">
  <cacheSource type="worksheet">
    <worksheetSource name="orders"/>
  </cacheSource>
  <cacheFields count="10">
    <cacheField name="order_id" numFmtId="49">
      <sharedItems containsSemiMixedTypes="0" containsString="0" containsNumber="1" containsInteger="1" minValue="1125" maxValue="1597" count="100">
        <n v="1125"/>
        <n v="1127"/>
        <n v="1152"/>
        <n v="1153"/>
        <n v="1161"/>
        <n v="1163"/>
        <n v="1167"/>
        <n v="1176"/>
        <n v="1183"/>
        <n v="1187"/>
        <n v="1193"/>
        <n v="1194"/>
        <n v="1195"/>
        <n v="1199"/>
        <n v="1200"/>
        <n v="1206"/>
        <n v="1211"/>
        <n v="1213"/>
        <n v="1215"/>
        <n v="1227"/>
        <n v="1233"/>
        <n v="1235"/>
        <n v="1255"/>
        <n v="1257"/>
        <n v="1258"/>
        <n v="1273"/>
        <n v="1277"/>
        <n v="1289"/>
        <n v="1290"/>
        <n v="1292"/>
        <n v="1294"/>
        <n v="1295"/>
        <n v="1297"/>
        <n v="1300"/>
        <n v="1302"/>
        <n v="1309"/>
        <n v="1310"/>
        <n v="1318"/>
        <n v="1319"/>
        <n v="1321"/>
        <n v="1323"/>
        <n v="1324"/>
        <n v="1327"/>
        <n v="1330"/>
        <n v="1335"/>
        <n v="1338"/>
        <n v="1339"/>
        <n v="1341"/>
        <n v="1342"/>
        <n v="1346"/>
        <n v="1347"/>
        <n v="1350"/>
        <n v="1352"/>
        <n v="1353"/>
        <n v="1358"/>
        <n v="1359"/>
        <n v="1361"/>
        <n v="1364"/>
        <n v="1370"/>
        <n v="1374"/>
        <n v="1379"/>
        <n v="1382"/>
        <n v="1388"/>
        <n v="1395"/>
        <n v="1396"/>
        <n v="1397"/>
        <n v="1406"/>
        <n v="1420"/>
        <n v="1436"/>
        <n v="1438"/>
        <n v="1445"/>
        <n v="1455"/>
        <n v="1457"/>
        <n v="1459"/>
        <n v="1466"/>
        <n v="1471"/>
        <n v="1480"/>
        <n v="1484"/>
        <n v="1487"/>
        <n v="1489"/>
        <n v="1491"/>
        <n v="1517"/>
        <n v="1522"/>
        <n v="1527"/>
        <n v="1533"/>
        <n v="1536"/>
        <n v="1540"/>
        <n v="1547"/>
        <n v="1552"/>
        <n v="1557"/>
        <n v="1569"/>
        <n v="1572"/>
        <n v="1573"/>
        <n v="1574"/>
        <n v="1576"/>
        <n v="1580"/>
        <n v="1582"/>
        <n v="1584"/>
        <n v="1587"/>
        <n v="1597"/>
      </sharedItems>
    </cacheField>
    <cacheField name="date" numFmtId="14">
      <sharedItems containsSemiMixedTypes="0" containsNonDate="0" containsDate="1" containsString="0" minDate="2023-02-01T00:00:00" maxDate="2023-02-21T00:00:00" count="20"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</sharedItems>
    </cacheField>
    <cacheField name="customer_id" numFmtId="49">
      <sharedItems containsSemiMixedTypes="0" containsString="0" containsNumber="1" containsInteger="1" minValue="11" maxValue="79"/>
    </cacheField>
    <cacheField name="product_id" numFmtId="2">
      <sharedItems containsSemiMixedTypes="0" containsString="0" containsNumber="1" containsInteger="1" minValue="163" maxValue="886"/>
    </cacheField>
    <cacheField name="qty" numFmtId="2">
      <sharedItems containsString="0" containsBlank="1" containsNumber="1" containsInteger="1" minValue="2" maxValue="12"/>
    </cacheField>
    <cacheField name="customer_name" numFmtId="0">
      <sharedItems count="9">
        <s v="Anthony"/>
        <s v="Ahmed"/>
        <s v="Ravi"/>
        <s v="MiKe"/>
        <s v="Bruce"/>
        <s v="Lisa"/>
        <s v="Jay"/>
        <s v="John"/>
        <s v="Tim"/>
      </sharedItems>
    </cacheField>
    <cacheField name="product name" numFmtId="0">
      <sharedItems count="20">
        <s v="Eggs"/>
        <s v="Yogurt"/>
        <s v="  Apple"/>
        <s v="Rice"/>
        <s v="Banana"/>
        <s v=" Donut"/>
        <s v="Fish"/>
        <s v="Grape Juice"/>
        <s v="Chicken"/>
        <s v="      Grapefruit"/>
        <s v="   Cheese"/>
        <s v="Carrot"/>
        <s v="Avocado"/>
        <s v="Pasta"/>
        <s v="Celery"/>
        <s v="French Fries"/>
        <s v="Broccoli"/>
        <s v="          Hamburger"/>
        <s v="Grilled Cheese"/>
        <s v="Chocolate Cake"/>
      </sharedItems>
    </cacheField>
    <cacheField name="price" numFmtId="164">
      <sharedItems containsSemiMixedTypes="0" containsString="0" containsNumber="1" containsInteger="1" minValue="20" maxValue="250"/>
    </cacheField>
    <cacheField name="total price" numFmtId="0">
      <sharedItems containsSemiMixedTypes="0" containsString="0" containsNumber="1" containsInteger="1" minValue="0" maxValue="2500"/>
    </cacheField>
    <cacheField name="Calories" numFmtId="0">
      <sharedItems containsMixedTypes="1" containsNumber="1" containsInteger="1" minValue="41" maxValue="4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x v="0"/>
    <x v="0"/>
    <n v="11"/>
    <n v="704"/>
    <n v="6"/>
    <x v="0"/>
    <x v="0"/>
    <n v="65"/>
    <n v="390"/>
    <n v="155"/>
  </r>
  <r>
    <x v="1"/>
    <x v="0"/>
    <n v="19"/>
    <n v="392"/>
    <n v="2"/>
    <x v="1"/>
    <x v="1"/>
    <n v="30"/>
    <n v="60"/>
    <n v="131"/>
  </r>
  <r>
    <x v="2"/>
    <x v="0"/>
    <n v="14"/>
    <n v="646"/>
    <n v="7"/>
    <x v="2"/>
    <x v="2"/>
    <n v="200"/>
    <n v="1400"/>
    <n v="41"/>
  </r>
  <r>
    <x v="3"/>
    <x v="0"/>
    <n v="35"/>
    <n v="294"/>
    <n v="9"/>
    <x v="3"/>
    <x v="3"/>
    <n v="80"/>
    <n v="720"/>
    <n v="130"/>
  </r>
  <r>
    <x v="4"/>
    <x v="0"/>
    <n v="35"/>
    <n v="651"/>
    <n v="6"/>
    <x v="3"/>
    <x v="4"/>
    <n v="80"/>
    <n v="480"/>
    <n v="41"/>
  </r>
  <r>
    <x v="5"/>
    <x v="1"/>
    <n v="50"/>
    <n v="646"/>
    <n v="4"/>
    <x v="4"/>
    <x v="2"/>
    <n v="200"/>
    <n v="800"/>
    <n v="41"/>
  </r>
  <r>
    <x v="6"/>
    <x v="1"/>
    <n v="35"/>
    <n v="739"/>
    <n v="9"/>
    <x v="3"/>
    <x v="5"/>
    <n v="40"/>
    <n v="360"/>
    <n v="152"/>
  </r>
  <r>
    <x v="6"/>
    <x v="1"/>
    <n v="35"/>
    <n v="739"/>
    <n v="8"/>
    <x v="3"/>
    <x v="5"/>
    <n v="40"/>
    <n v="320"/>
    <n v="152"/>
  </r>
  <r>
    <x v="7"/>
    <x v="1"/>
    <n v="11"/>
    <n v="628"/>
    <n v="5"/>
    <x v="0"/>
    <x v="6"/>
    <n v="120"/>
    <n v="600"/>
    <n v="41"/>
  </r>
  <r>
    <x v="8"/>
    <x v="1"/>
    <n v="21"/>
    <n v="163"/>
    <n v="7"/>
    <x v="5"/>
    <x v="7"/>
    <n v="40"/>
    <n v="280"/>
    <e v="#N/A"/>
  </r>
  <r>
    <x v="9"/>
    <x v="1"/>
    <n v="19"/>
    <n v="594"/>
    <n v="6"/>
    <x v="1"/>
    <x v="8"/>
    <n v="250"/>
    <n v="1500"/>
    <n v="41"/>
  </r>
  <r>
    <x v="10"/>
    <x v="2"/>
    <n v="34"/>
    <n v="651"/>
    <n v="2"/>
    <x v="6"/>
    <x v="4"/>
    <n v="80"/>
    <n v="160"/>
    <n v="41"/>
  </r>
  <r>
    <x v="11"/>
    <x v="2"/>
    <n v="11"/>
    <n v="600"/>
    <n v="9"/>
    <x v="0"/>
    <x v="9"/>
    <n v="20"/>
    <n v="180"/>
    <n v="41"/>
  </r>
  <r>
    <x v="12"/>
    <x v="2"/>
    <n v="29"/>
    <n v="739"/>
    <n v="3"/>
    <x v="7"/>
    <x v="5"/>
    <n v="40"/>
    <n v="120"/>
    <n v="152"/>
  </r>
  <r>
    <x v="13"/>
    <x v="2"/>
    <n v="35"/>
    <n v="797"/>
    <m/>
    <x v="3"/>
    <x v="10"/>
    <n v="80"/>
    <n v="0"/>
    <n v="250"/>
  </r>
  <r>
    <x v="14"/>
    <x v="2"/>
    <n v="79"/>
    <n v="521"/>
    <n v="3"/>
    <x v="8"/>
    <x v="11"/>
    <n v="40"/>
    <n v="120"/>
    <n v="41"/>
  </r>
  <r>
    <x v="15"/>
    <x v="3"/>
    <n v="11"/>
    <n v="886"/>
    <m/>
    <x v="0"/>
    <x v="12"/>
    <n v="100"/>
    <n v="0"/>
    <n v="250"/>
  </r>
  <r>
    <x v="16"/>
    <x v="3"/>
    <n v="79"/>
    <n v="646"/>
    <n v="7"/>
    <x v="8"/>
    <x v="2"/>
    <n v="200"/>
    <n v="1400"/>
    <n v="41"/>
  </r>
  <r>
    <x v="17"/>
    <x v="3"/>
    <n v="29"/>
    <n v="328"/>
    <n v="10"/>
    <x v="7"/>
    <x v="13"/>
    <n v="60"/>
    <n v="600"/>
    <n v="131"/>
  </r>
  <r>
    <x v="18"/>
    <x v="3"/>
    <n v="21"/>
    <n v="811"/>
    <n v="3"/>
    <x v="5"/>
    <x v="14"/>
    <n v="50"/>
    <n v="150"/>
    <n v="250"/>
  </r>
  <r>
    <x v="19"/>
    <x v="3"/>
    <n v="50"/>
    <n v="704"/>
    <n v="5"/>
    <x v="4"/>
    <x v="0"/>
    <n v="65"/>
    <n v="325"/>
    <n v="155"/>
  </r>
  <r>
    <x v="20"/>
    <x v="4"/>
    <n v="79"/>
    <n v="328"/>
    <n v="10"/>
    <x v="8"/>
    <x v="13"/>
    <n v="60"/>
    <n v="600"/>
    <n v="131"/>
  </r>
  <r>
    <x v="21"/>
    <x v="4"/>
    <n v="14"/>
    <n v="163"/>
    <n v="10"/>
    <x v="2"/>
    <x v="7"/>
    <n v="40"/>
    <n v="400"/>
    <e v="#N/A"/>
  </r>
  <r>
    <x v="22"/>
    <x v="4"/>
    <n v="50"/>
    <n v="521"/>
    <n v="2"/>
    <x v="4"/>
    <x v="11"/>
    <n v="40"/>
    <n v="80"/>
    <n v="41"/>
  </r>
  <r>
    <x v="23"/>
    <x v="4"/>
    <n v="11"/>
    <n v="590"/>
    <n v="8"/>
    <x v="0"/>
    <x v="15"/>
    <n v="50"/>
    <n v="400"/>
    <n v="41"/>
  </r>
  <r>
    <x v="24"/>
    <x v="4"/>
    <n v="34"/>
    <n v="704"/>
    <n v="4"/>
    <x v="6"/>
    <x v="0"/>
    <n v="65"/>
    <n v="260"/>
    <n v="155"/>
  </r>
  <r>
    <x v="25"/>
    <x v="5"/>
    <n v="50"/>
    <n v="886"/>
    <n v="3"/>
    <x v="4"/>
    <x v="12"/>
    <n v="100"/>
    <n v="300"/>
    <n v="250"/>
  </r>
  <r>
    <x v="26"/>
    <x v="5"/>
    <n v="34"/>
    <n v="704"/>
    <n v="6"/>
    <x v="6"/>
    <x v="0"/>
    <n v="65"/>
    <n v="390"/>
    <n v="155"/>
  </r>
  <r>
    <x v="27"/>
    <x v="5"/>
    <n v="19"/>
    <n v="811"/>
    <n v="6"/>
    <x v="1"/>
    <x v="14"/>
    <n v="50"/>
    <n v="300"/>
    <n v="250"/>
  </r>
  <r>
    <x v="28"/>
    <x v="5"/>
    <n v="35"/>
    <n v="600"/>
    <n v="5"/>
    <x v="3"/>
    <x v="9"/>
    <n v="20"/>
    <n v="100"/>
    <n v="41"/>
  </r>
  <r>
    <x v="29"/>
    <x v="5"/>
    <n v="14"/>
    <n v="804"/>
    <n v="2"/>
    <x v="2"/>
    <x v="16"/>
    <n v="30"/>
    <n v="60"/>
    <n v="250"/>
  </r>
  <r>
    <x v="30"/>
    <x v="6"/>
    <n v="19"/>
    <n v="651"/>
    <n v="3"/>
    <x v="1"/>
    <x v="4"/>
    <n v="80"/>
    <n v="240"/>
    <n v="41"/>
  </r>
  <r>
    <x v="31"/>
    <x v="6"/>
    <n v="14"/>
    <n v="521"/>
    <n v="4"/>
    <x v="2"/>
    <x v="11"/>
    <n v="40"/>
    <n v="160"/>
    <n v="41"/>
  </r>
  <r>
    <x v="32"/>
    <x v="6"/>
    <n v="35"/>
    <n v="628"/>
    <n v="9"/>
    <x v="3"/>
    <x v="6"/>
    <n v="120"/>
    <n v="1080"/>
    <n v="41"/>
  </r>
  <r>
    <x v="32"/>
    <x v="6"/>
    <n v="35"/>
    <n v="628"/>
    <n v="3"/>
    <x v="3"/>
    <x v="6"/>
    <n v="120"/>
    <n v="360"/>
    <n v="41"/>
  </r>
  <r>
    <x v="33"/>
    <x v="6"/>
    <n v="35"/>
    <n v="797"/>
    <n v="4"/>
    <x v="3"/>
    <x v="10"/>
    <n v="80"/>
    <n v="320"/>
    <n v="250"/>
  </r>
  <r>
    <x v="34"/>
    <x v="6"/>
    <n v="34"/>
    <n v="328"/>
    <n v="3"/>
    <x v="6"/>
    <x v="13"/>
    <n v="60"/>
    <n v="180"/>
    <n v="131"/>
  </r>
  <r>
    <x v="35"/>
    <x v="7"/>
    <n v="34"/>
    <n v="163"/>
    <m/>
    <x v="6"/>
    <x v="7"/>
    <n v="40"/>
    <n v="0"/>
    <e v="#N/A"/>
  </r>
  <r>
    <x v="36"/>
    <x v="7"/>
    <n v="79"/>
    <n v="484"/>
    <n v="3"/>
    <x v="8"/>
    <x v="17"/>
    <n v="70"/>
    <n v="210"/>
    <n v="131"/>
  </r>
  <r>
    <x v="37"/>
    <x v="7"/>
    <n v="29"/>
    <n v="794"/>
    <n v="3"/>
    <x v="7"/>
    <x v="18"/>
    <n v="100"/>
    <n v="300"/>
    <n v="440"/>
  </r>
  <r>
    <x v="38"/>
    <x v="7"/>
    <n v="14"/>
    <n v="521"/>
    <n v="6"/>
    <x v="2"/>
    <x v="11"/>
    <n v="40"/>
    <n v="240"/>
    <n v="41"/>
  </r>
  <r>
    <x v="39"/>
    <x v="7"/>
    <n v="21"/>
    <n v="594"/>
    <n v="7"/>
    <x v="5"/>
    <x v="8"/>
    <n v="250"/>
    <n v="1750"/>
    <n v="41"/>
  </r>
  <r>
    <x v="40"/>
    <x v="8"/>
    <n v="79"/>
    <n v="646"/>
    <n v="9"/>
    <x v="8"/>
    <x v="2"/>
    <n v="200"/>
    <n v="1800"/>
    <n v="41"/>
  </r>
  <r>
    <x v="41"/>
    <x v="8"/>
    <n v="19"/>
    <n v="594"/>
    <n v="8"/>
    <x v="1"/>
    <x v="8"/>
    <n v="250"/>
    <n v="2000"/>
    <n v="41"/>
  </r>
  <r>
    <x v="42"/>
    <x v="8"/>
    <n v="50"/>
    <n v="392"/>
    <n v="9"/>
    <x v="4"/>
    <x v="1"/>
    <n v="30"/>
    <n v="270"/>
    <n v="131"/>
  </r>
  <r>
    <x v="43"/>
    <x v="8"/>
    <n v="29"/>
    <n v="804"/>
    <n v="10"/>
    <x v="7"/>
    <x v="16"/>
    <n v="30"/>
    <n v="300"/>
    <n v="250"/>
  </r>
  <r>
    <x v="44"/>
    <x v="8"/>
    <n v="34"/>
    <n v="811"/>
    <n v="6"/>
    <x v="6"/>
    <x v="14"/>
    <n v="50"/>
    <n v="300"/>
    <n v="250"/>
  </r>
  <r>
    <x v="45"/>
    <x v="9"/>
    <n v="14"/>
    <n v="521"/>
    <n v="5"/>
    <x v="2"/>
    <x v="11"/>
    <n v="40"/>
    <n v="200"/>
    <n v="41"/>
  </r>
  <r>
    <x v="46"/>
    <x v="9"/>
    <n v="35"/>
    <n v="886"/>
    <m/>
    <x v="3"/>
    <x v="12"/>
    <n v="100"/>
    <n v="0"/>
    <n v="250"/>
  </r>
  <r>
    <x v="47"/>
    <x v="9"/>
    <n v="29"/>
    <n v="600"/>
    <n v="6"/>
    <x v="7"/>
    <x v="9"/>
    <n v="20"/>
    <n v="120"/>
    <n v="41"/>
  </r>
  <r>
    <x v="48"/>
    <x v="9"/>
    <n v="11"/>
    <n v="651"/>
    <n v="6"/>
    <x v="0"/>
    <x v="4"/>
    <n v="80"/>
    <n v="480"/>
    <n v="41"/>
  </r>
  <r>
    <x v="49"/>
    <x v="9"/>
    <n v="21"/>
    <n v="328"/>
    <n v="2"/>
    <x v="5"/>
    <x v="13"/>
    <n v="60"/>
    <n v="120"/>
    <n v="131"/>
  </r>
  <r>
    <x v="50"/>
    <x v="10"/>
    <n v="79"/>
    <n v="862"/>
    <n v="9"/>
    <x v="8"/>
    <x v="19"/>
    <n v="200"/>
    <n v="1800"/>
    <n v="250"/>
  </r>
  <r>
    <x v="51"/>
    <x v="10"/>
    <n v="19"/>
    <n v="484"/>
    <n v="9"/>
    <x v="1"/>
    <x v="17"/>
    <n v="70"/>
    <n v="630"/>
    <n v="131"/>
  </r>
  <r>
    <x v="52"/>
    <x v="10"/>
    <n v="35"/>
    <n v="704"/>
    <n v="4"/>
    <x v="3"/>
    <x v="0"/>
    <n v="65"/>
    <n v="260"/>
    <n v="155"/>
  </r>
  <r>
    <x v="52"/>
    <x v="10"/>
    <n v="35"/>
    <n v="704"/>
    <n v="2"/>
    <x v="3"/>
    <x v="0"/>
    <n v="65"/>
    <n v="130"/>
    <n v="155"/>
  </r>
  <r>
    <x v="53"/>
    <x v="10"/>
    <n v="34"/>
    <n v="739"/>
    <n v="3"/>
    <x v="6"/>
    <x v="5"/>
    <n v="40"/>
    <n v="120"/>
    <n v="152"/>
  </r>
  <r>
    <x v="54"/>
    <x v="10"/>
    <n v="50"/>
    <n v="594"/>
    <n v="9"/>
    <x v="4"/>
    <x v="8"/>
    <n v="250"/>
    <n v="2250"/>
    <n v="41"/>
  </r>
  <r>
    <x v="55"/>
    <x v="11"/>
    <n v="35"/>
    <n v="392"/>
    <n v="3"/>
    <x v="3"/>
    <x v="1"/>
    <n v="30"/>
    <n v="90"/>
    <n v="131"/>
  </r>
  <r>
    <x v="56"/>
    <x v="11"/>
    <n v="35"/>
    <n v="794"/>
    <n v="7"/>
    <x v="3"/>
    <x v="18"/>
    <n v="100"/>
    <n v="700"/>
    <n v="440"/>
  </r>
  <r>
    <x v="57"/>
    <x v="11"/>
    <n v="21"/>
    <n v="739"/>
    <n v="7"/>
    <x v="5"/>
    <x v="5"/>
    <n v="40"/>
    <n v="280"/>
    <n v="152"/>
  </r>
  <r>
    <x v="58"/>
    <x v="11"/>
    <n v="50"/>
    <n v="594"/>
    <n v="10"/>
    <x v="4"/>
    <x v="8"/>
    <n v="250"/>
    <n v="2500"/>
    <n v="41"/>
  </r>
  <r>
    <x v="59"/>
    <x v="11"/>
    <n v="19"/>
    <n v="811"/>
    <n v="8"/>
    <x v="1"/>
    <x v="14"/>
    <n v="50"/>
    <n v="400"/>
    <n v="250"/>
  </r>
  <r>
    <x v="60"/>
    <x v="12"/>
    <n v="14"/>
    <n v="794"/>
    <n v="10"/>
    <x v="2"/>
    <x v="18"/>
    <n v="100"/>
    <n v="1000"/>
    <n v="440"/>
  </r>
  <r>
    <x v="61"/>
    <x v="12"/>
    <n v="35"/>
    <n v="862"/>
    <n v="10"/>
    <x v="3"/>
    <x v="19"/>
    <n v="200"/>
    <n v="2000"/>
    <n v="250"/>
  </r>
  <r>
    <x v="62"/>
    <x v="12"/>
    <n v="11"/>
    <n v="804"/>
    <n v="3"/>
    <x v="0"/>
    <x v="16"/>
    <n v="30"/>
    <n v="90"/>
    <n v="250"/>
  </r>
  <r>
    <x v="63"/>
    <x v="12"/>
    <n v="19"/>
    <n v="590"/>
    <m/>
    <x v="1"/>
    <x v="15"/>
    <n v="50"/>
    <n v="0"/>
    <n v="41"/>
  </r>
  <r>
    <x v="64"/>
    <x v="12"/>
    <n v="34"/>
    <n v="628"/>
    <n v="9"/>
    <x v="6"/>
    <x v="6"/>
    <n v="120"/>
    <n v="1080"/>
    <n v="41"/>
  </r>
  <r>
    <x v="65"/>
    <x v="13"/>
    <n v="79"/>
    <n v="797"/>
    <n v="6"/>
    <x v="8"/>
    <x v="10"/>
    <n v="80"/>
    <n v="480"/>
    <n v="250"/>
  </r>
  <r>
    <x v="66"/>
    <x v="13"/>
    <n v="19"/>
    <n v="294"/>
    <n v="3"/>
    <x v="1"/>
    <x v="3"/>
    <n v="80"/>
    <n v="240"/>
    <n v="130"/>
  </r>
  <r>
    <x v="67"/>
    <x v="13"/>
    <n v="21"/>
    <n v="590"/>
    <n v="7"/>
    <x v="5"/>
    <x v="15"/>
    <n v="50"/>
    <n v="350"/>
    <n v="41"/>
  </r>
  <r>
    <x v="68"/>
    <x v="13"/>
    <n v="35"/>
    <n v="392"/>
    <n v="3"/>
    <x v="3"/>
    <x v="1"/>
    <n v="30"/>
    <n v="90"/>
    <n v="131"/>
  </r>
  <r>
    <x v="69"/>
    <x v="13"/>
    <n v="14"/>
    <n v="704"/>
    <n v="4"/>
    <x v="2"/>
    <x v="0"/>
    <n v="65"/>
    <n v="260"/>
    <n v="155"/>
  </r>
  <r>
    <x v="70"/>
    <x v="14"/>
    <n v="34"/>
    <n v="704"/>
    <n v="4"/>
    <x v="6"/>
    <x v="0"/>
    <n v="65"/>
    <n v="260"/>
    <n v="155"/>
  </r>
  <r>
    <x v="71"/>
    <x v="14"/>
    <n v="29"/>
    <n v="294"/>
    <n v="10"/>
    <x v="7"/>
    <x v="3"/>
    <n v="80"/>
    <n v="800"/>
    <n v="130"/>
  </r>
  <r>
    <x v="72"/>
    <x v="14"/>
    <n v="50"/>
    <n v="484"/>
    <n v="10"/>
    <x v="4"/>
    <x v="17"/>
    <n v="70"/>
    <n v="700"/>
    <n v="131"/>
  </r>
  <r>
    <x v="72"/>
    <x v="14"/>
    <n v="50"/>
    <n v="484"/>
    <n v="2"/>
    <x v="4"/>
    <x v="17"/>
    <n v="70"/>
    <n v="140"/>
    <n v="131"/>
  </r>
  <r>
    <x v="73"/>
    <x v="14"/>
    <n v="14"/>
    <n v="594"/>
    <n v="5"/>
    <x v="2"/>
    <x v="8"/>
    <n v="250"/>
    <n v="1250"/>
    <n v="41"/>
  </r>
  <r>
    <x v="74"/>
    <x v="14"/>
    <n v="35"/>
    <n v="163"/>
    <n v="6"/>
    <x v="3"/>
    <x v="7"/>
    <n v="40"/>
    <n v="240"/>
    <e v="#N/A"/>
  </r>
  <r>
    <x v="75"/>
    <x v="15"/>
    <n v="50"/>
    <n v="651"/>
    <n v="8"/>
    <x v="4"/>
    <x v="4"/>
    <n v="80"/>
    <n v="640"/>
    <n v="41"/>
  </r>
  <r>
    <x v="76"/>
    <x v="15"/>
    <n v="19"/>
    <n v="704"/>
    <n v="2"/>
    <x v="1"/>
    <x v="0"/>
    <n v="65"/>
    <n v="130"/>
    <n v="155"/>
  </r>
  <r>
    <x v="77"/>
    <x v="15"/>
    <n v="35"/>
    <n v="590"/>
    <n v="8"/>
    <x v="3"/>
    <x v="15"/>
    <n v="50"/>
    <n v="400"/>
    <n v="41"/>
  </r>
  <r>
    <x v="78"/>
    <x v="15"/>
    <n v="21"/>
    <n v="811"/>
    <n v="5"/>
    <x v="5"/>
    <x v="14"/>
    <n v="50"/>
    <n v="250"/>
    <n v="250"/>
  </r>
  <r>
    <x v="79"/>
    <x v="15"/>
    <n v="35"/>
    <n v="594"/>
    <n v="8"/>
    <x v="3"/>
    <x v="8"/>
    <n v="250"/>
    <n v="2000"/>
    <n v="41"/>
  </r>
  <r>
    <x v="80"/>
    <x v="16"/>
    <n v="29"/>
    <n v="739"/>
    <n v="2"/>
    <x v="7"/>
    <x v="5"/>
    <n v="40"/>
    <n v="80"/>
    <n v="152"/>
  </r>
  <r>
    <x v="81"/>
    <x v="16"/>
    <n v="21"/>
    <n v="628"/>
    <n v="10"/>
    <x v="5"/>
    <x v="6"/>
    <n v="120"/>
    <n v="1200"/>
    <n v="41"/>
  </r>
  <r>
    <x v="82"/>
    <x v="16"/>
    <n v="11"/>
    <n v="392"/>
    <n v="4"/>
    <x v="0"/>
    <x v="1"/>
    <n v="30"/>
    <n v="120"/>
    <n v="131"/>
  </r>
  <r>
    <x v="83"/>
    <x v="16"/>
    <n v="35"/>
    <n v="484"/>
    <n v="6"/>
    <x v="3"/>
    <x v="17"/>
    <n v="70"/>
    <n v="420"/>
    <n v="131"/>
  </r>
  <r>
    <x v="84"/>
    <x v="16"/>
    <n v="50"/>
    <n v="294"/>
    <n v="8"/>
    <x v="4"/>
    <x v="3"/>
    <n v="80"/>
    <n v="640"/>
    <n v="130"/>
  </r>
  <r>
    <x v="85"/>
    <x v="17"/>
    <n v="29"/>
    <n v="392"/>
    <n v="4"/>
    <x v="7"/>
    <x v="1"/>
    <n v="30"/>
    <n v="120"/>
    <n v="131"/>
  </r>
  <r>
    <x v="86"/>
    <x v="17"/>
    <n v="35"/>
    <n v="294"/>
    <n v="5"/>
    <x v="3"/>
    <x v="3"/>
    <n v="80"/>
    <n v="400"/>
    <n v="130"/>
  </r>
  <r>
    <x v="87"/>
    <x v="17"/>
    <n v="34"/>
    <n v="862"/>
    <n v="3"/>
    <x v="6"/>
    <x v="19"/>
    <n v="200"/>
    <n v="600"/>
    <n v="250"/>
  </r>
  <r>
    <x v="88"/>
    <x v="17"/>
    <n v="79"/>
    <n v="163"/>
    <n v="3"/>
    <x v="8"/>
    <x v="7"/>
    <n v="40"/>
    <n v="120"/>
    <e v="#N/A"/>
  </r>
  <r>
    <x v="89"/>
    <x v="17"/>
    <n v="21"/>
    <n v="628"/>
    <n v="6"/>
    <x v="5"/>
    <x v="6"/>
    <n v="120"/>
    <n v="720"/>
    <n v="41"/>
  </r>
  <r>
    <x v="90"/>
    <x v="18"/>
    <n v="35"/>
    <n v="862"/>
    <n v="5"/>
    <x v="3"/>
    <x v="19"/>
    <n v="200"/>
    <n v="1000"/>
    <n v="250"/>
  </r>
  <r>
    <x v="91"/>
    <x v="18"/>
    <n v="21"/>
    <n v="704"/>
    <n v="4"/>
    <x v="5"/>
    <x v="0"/>
    <n v="65"/>
    <n v="260"/>
    <n v="155"/>
  </r>
  <r>
    <x v="92"/>
    <x v="18"/>
    <n v="19"/>
    <n v="646"/>
    <m/>
    <x v="1"/>
    <x v="2"/>
    <n v="200"/>
    <n v="0"/>
    <n v="41"/>
  </r>
  <r>
    <x v="93"/>
    <x v="18"/>
    <n v="79"/>
    <n v="590"/>
    <n v="2"/>
    <x v="8"/>
    <x v="15"/>
    <n v="50"/>
    <n v="100"/>
    <n v="41"/>
  </r>
  <r>
    <x v="94"/>
    <x v="18"/>
    <n v="11"/>
    <n v="392"/>
    <n v="3"/>
    <x v="0"/>
    <x v="1"/>
    <n v="30"/>
    <n v="90"/>
    <n v="131"/>
  </r>
  <r>
    <x v="95"/>
    <x v="19"/>
    <n v="14"/>
    <n v="392"/>
    <n v="2"/>
    <x v="2"/>
    <x v="1"/>
    <n v="30"/>
    <n v="60"/>
    <n v="131"/>
  </r>
  <r>
    <x v="96"/>
    <x v="19"/>
    <n v="35"/>
    <n v="811"/>
    <n v="4"/>
    <x v="3"/>
    <x v="14"/>
    <n v="50"/>
    <n v="200"/>
    <n v="250"/>
  </r>
  <r>
    <x v="97"/>
    <x v="19"/>
    <n v="21"/>
    <n v="651"/>
    <m/>
    <x v="5"/>
    <x v="4"/>
    <n v="80"/>
    <n v="0"/>
    <n v="41"/>
  </r>
  <r>
    <x v="98"/>
    <x v="19"/>
    <n v="11"/>
    <n v="804"/>
    <n v="8"/>
    <x v="0"/>
    <x v="16"/>
    <n v="30"/>
    <n v="240"/>
    <n v="250"/>
  </r>
  <r>
    <x v="99"/>
    <x v="19"/>
    <n v="29"/>
    <n v="739"/>
    <n v="12"/>
    <x v="7"/>
    <x v="5"/>
    <n v="40"/>
    <n v="480"/>
    <n v="152"/>
  </r>
  <r>
    <x v="99"/>
    <x v="19"/>
    <n v="29"/>
    <n v="739"/>
    <n v="12"/>
    <x v="7"/>
    <x v="5"/>
    <n v="40"/>
    <n v="480"/>
    <n v="1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34C723-3505-4FD4-A3D3-EB2D9D363EF3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3" firstHeaderRow="1" firstDataRow="1" firstDataCol="1" rowPageCount="1" colPageCount="1"/>
  <pivotFields count="10">
    <pivotField axis="axisPage" numFmtId="49" multipleItemSelectionAllowed="1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umFmtId="49" showAll="0"/>
    <pivotField numFmtId="2" showAll="0"/>
    <pivotField showAll="0"/>
    <pivotField axis="axisRow" showAll="0">
      <items count="10">
        <item sd="0" x="1"/>
        <item sd="0" x="0"/>
        <item sd="0" x="4"/>
        <item sd="0" x="6"/>
        <item sd="0" x="7"/>
        <item sd="0" x="5"/>
        <item sd="0" x="3"/>
        <item sd="0" x="2"/>
        <item sd="0" x="8"/>
        <item t="default"/>
      </items>
    </pivotField>
    <pivotField axis="axisRow" showAll="0">
      <items count="21">
        <item x="17"/>
        <item x="9"/>
        <item x="10"/>
        <item x="2"/>
        <item x="5"/>
        <item x="12"/>
        <item x="4"/>
        <item x="16"/>
        <item x="11"/>
        <item x="14"/>
        <item x="8"/>
        <item x="19"/>
        <item x="0"/>
        <item x="6"/>
        <item x="15"/>
        <item x="7"/>
        <item x="18"/>
        <item x="13"/>
        <item x="3"/>
        <item x="1"/>
        <item t="default"/>
      </items>
    </pivotField>
    <pivotField dataField="1" numFmtId="164" showAll="0"/>
    <pivotField showAll="0"/>
    <pivotField showAll="0"/>
  </pivotFields>
  <rowFields count="2">
    <field x="5"/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0" hier="-1"/>
  </pageFields>
  <dataFields count="1">
    <dataField name="Sum of Sales" fld="7" baseField="0" baseItem="0" numFmtId="164"/>
  </dataFields>
  <conditionalFormats count="2">
    <conditionalFormat scope="field" priority="2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5" count="0" selected="0"/>
          </references>
        </pivotArea>
      </pivotAreas>
    </conditionalFormat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5" count="0" selected="0"/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01ABE5-643D-4939-9FE2-19277109C76B}" name="orders" displayName="orders" ref="A1:J106" totalsRowShown="0">
  <autoFilter ref="A1:J106" xr:uid="{7801ABE5-643D-4939-9FE2-19277109C76B}"/>
  <tableColumns count="10">
    <tableColumn id="1" xr3:uid="{E637DD82-5867-4120-82B7-564EDB606FFB}" name="order_id" dataDxfId="17"/>
    <tableColumn id="2" xr3:uid="{F1A125B6-CF20-48BE-953E-2C5DA10FEFAA}" name="date" dataDxfId="16"/>
    <tableColumn id="3" xr3:uid="{E03D5681-C661-4886-952B-8DFCA6D4A2D6}" name="customer_id" dataDxfId="15"/>
    <tableColumn id="4" xr3:uid="{38E65C09-171B-488B-B7F3-59854A07D30B}" name="product_id" dataDxfId="14"/>
    <tableColumn id="7" xr3:uid="{4CA81E9E-D711-4EBE-8E36-05D0190C1F84}" name="qty" dataDxfId="13"/>
    <tableColumn id="5" xr3:uid="{AAC8B054-38BC-4250-ABCE-4A8F968764C9}" name="customer_name" dataDxfId="12">
      <calculatedColumnFormula>VLOOKUP(C2,'customers'!A:B,2,FALSE)</calculatedColumnFormula>
    </tableColumn>
    <tableColumn id="8" xr3:uid="{18DE1BF9-C119-4EE4-8125-33148CF5B230}" name="product name" dataDxfId="11">
      <calculatedColumnFormula>INDEX(products!B:B, MATCH(D2, products!A:A, 0))</calculatedColumnFormula>
    </tableColumn>
    <tableColumn id="9" xr3:uid="{4AACD2CD-587B-49A9-8314-B7CB4CD57DC8}" name="price" dataDxfId="10">
      <calculatedColumnFormula>VLOOKUP(orders[[#This Row],[product_id]],products[#All],7,0)</calculatedColumnFormula>
    </tableColumn>
    <tableColumn id="6" xr3:uid="{5767BC6B-7F5E-4F37-BBBB-A049B4A918A6}" name="total price" dataDxfId="9">
      <calculatedColumnFormula>orders[qty]*orders[price]</calculatedColumnFormula>
    </tableColumn>
    <tableColumn id="10" xr3:uid="{05CE42AF-5644-4CD8-9DBC-BFA0CD92CD2C}" name="Calories" dataDxfId="8">
      <calculatedColumnFormula>INDEX(products!C:C,MATCH(D2,products!A:A),0)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400A46-21AD-4BA4-AA4B-F4441FAE63A8}" name="products" displayName="products" ref="A1:G21" totalsRowShown="0">
  <autoFilter ref="A1:G21" xr:uid="{0A400A46-21AD-4BA4-AA4B-F4441FAE63A8}"/>
  <tableColumns count="7">
    <tableColumn id="1" xr3:uid="{2F724C30-FEC0-4CB7-9451-01ED9EB1EF4B}" name="product_id" dataDxfId="7"/>
    <tableColumn id="2" xr3:uid="{4C607F3C-2E8E-4343-85A9-21D39E43E2D4}" name="product_name"/>
    <tableColumn id="3" xr3:uid="{605FB052-5970-4A75-8DD7-729A0164925E}" name="calories"/>
    <tableColumn id="4" xr3:uid="{F87E52D5-D72E-4B4E-B030-CB58516ECB49}" name="protein"/>
    <tableColumn id="5" xr3:uid="{6ABB720F-21C8-49C3-92B2-152A4BB7724C}" name="carbs"/>
    <tableColumn id="6" xr3:uid="{5D9329AD-6A3A-4D86-A153-27C73CC1D6DD}" name="fat"/>
    <tableColumn id="7" xr3:uid="{25EE7C65-B3E8-493D-900A-7541F75EF6F3}" name="price (in INR)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136194B-B49D-4BEE-852B-AE5A74AAB81F}" name="customers" displayName="customers" ref="A1:B11" totalsRowShown="0">
  <autoFilter ref="A1:B11" xr:uid="{E136194B-B49D-4BEE-852B-AE5A74AAB81F}"/>
  <tableColumns count="2">
    <tableColumn id="1" xr3:uid="{CF8165CB-64B9-41FE-8DF6-84DD95AB7AF2}" name="customer_id" dataDxfId="5"/>
    <tableColumn id="2" xr3:uid="{BB28EDD7-691C-4F25-BA59-E0CAA20F0BFF}" name="customer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F881F-3FCB-4DDD-889F-F21286951AE7}">
  <dimension ref="A1:B13"/>
  <sheetViews>
    <sheetView tabSelected="1" workbookViewId="0">
      <selection activeCell="D16" sqref="D16"/>
    </sheetView>
  </sheetViews>
  <sheetFormatPr defaultRowHeight="14.5" x14ac:dyDescent="0.35"/>
  <cols>
    <col min="1" max="1" width="12.36328125" bestFit="1" customWidth="1"/>
    <col min="2" max="2" width="11.26953125" bestFit="1" customWidth="1"/>
    <col min="3" max="3" width="7.7265625" bestFit="1" customWidth="1"/>
    <col min="5" max="6" width="7.7265625" bestFit="1" customWidth="1"/>
    <col min="8" max="8" width="7.7265625" bestFit="1" customWidth="1"/>
    <col min="10" max="10" width="7.7265625" bestFit="1" customWidth="1"/>
    <col min="12" max="16" width="7.7265625" bestFit="1" customWidth="1"/>
    <col min="19" max="26" width="7.7265625" bestFit="1" customWidth="1"/>
    <col min="28" max="33" width="7.7265625" bestFit="1" customWidth="1"/>
    <col min="35" max="38" width="7.7265625" bestFit="1" customWidth="1"/>
    <col min="40" max="40" width="7.7265625" bestFit="1" customWidth="1"/>
    <col min="44" max="47" width="7.7265625" bestFit="1" customWidth="1"/>
    <col min="49" max="51" width="7.7265625" bestFit="1" customWidth="1"/>
    <col min="53" max="53" width="7.7265625" bestFit="1" customWidth="1"/>
    <col min="55" max="55" width="7.7265625" bestFit="1" customWidth="1"/>
    <col min="57" max="57" width="7.7265625" bestFit="1" customWidth="1"/>
    <col min="59" max="59" width="7.7265625" bestFit="1" customWidth="1"/>
    <col min="61" max="61" width="7.7265625" bestFit="1" customWidth="1"/>
    <col min="64" max="65" width="7.7265625" bestFit="1" customWidth="1"/>
    <col min="67" max="73" width="7.7265625" bestFit="1" customWidth="1"/>
    <col min="76" max="80" width="7.7265625" bestFit="1" customWidth="1"/>
    <col min="82" max="82" width="7.7265625" bestFit="1" customWidth="1"/>
    <col min="84" max="88" width="7.7265625" bestFit="1" customWidth="1"/>
    <col min="90" max="90" width="7.7265625" bestFit="1" customWidth="1"/>
    <col min="93" max="93" width="7.7265625" bestFit="1" customWidth="1"/>
    <col min="95" max="101" width="7.7265625" bestFit="1" customWidth="1"/>
    <col min="102" max="102" width="10.7265625" bestFit="1" customWidth="1"/>
  </cols>
  <sheetData>
    <row r="1" spans="1:2" x14ac:dyDescent="0.35">
      <c r="A1" s="5" t="s">
        <v>0</v>
      </c>
      <c r="B1" t="s">
        <v>53</v>
      </c>
    </row>
    <row r="3" spans="1:2" x14ac:dyDescent="0.35">
      <c r="A3" s="5" t="s">
        <v>51</v>
      </c>
      <c r="B3" t="s">
        <v>54</v>
      </c>
    </row>
    <row r="4" spans="1:2" x14ac:dyDescent="0.35">
      <c r="A4" s="6" t="s">
        <v>38</v>
      </c>
      <c r="B4" s="4">
        <v>1175</v>
      </c>
    </row>
    <row r="5" spans="1:2" x14ac:dyDescent="0.35">
      <c r="A5" s="6" t="s">
        <v>41</v>
      </c>
      <c r="B5" s="4">
        <v>555</v>
      </c>
    </row>
    <row r="6" spans="1:2" x14ac:dyDescent="0.35">
      <c r="A6" s="6" t="s">
        <v>39</v>
      </c>
      <c r="B6" s="4">
        <v>1235</v>
      </c>
    </row>
    <row r="7" spans="1:2" x14ac:dyDescent="0.35">
      <c r="A7" s="6" t="s">
        <v>34</v>
      </c>
      <c r="B7" s="4">
        <v>785</v>
      </c>
    </row>
    <row r="8" spans="1:2" x14ac:dyDescent="0.35">
      <c r="A8" s="6" t="s">
        <v>35</v>
      </c>
      <c r="B8" s="4">
        <v>480</v>
      </c>
    </row>
    <row r="9" spans="1:2" x14ac:dyDescent="0.35">
      <c r="A9" s="6" t="s">
        <v>30</v>
      </c>
      <c r="B9" s="4">
        <v>925</v>
      </c>
    </row>
    <row r="10" spans="1:2" x14ac:dyDescent="0.35">
      <c r="A10" s="6" t="s">
        <v>31</v>
      </c>
      <c r="B10" s="4">
        <v>1990</v>
      </c>
    </row>
    <row r="11" spans="1:2" x14ac:dyDescent="0.35">
      <c r="A11" s="6" t="s">
        <v>37</v>
      </c>
      <c r="B11" s="4">
        <v>835</v>
      </c>
    </row>
    <row r="12" spans="1:2" x14ac:dyDescent="0.35">
      <c r="A12" s="6" t="s">
        <v>36</v>
      </c>
      <c r="B12" s="4">
        <v>940</v>
      </c>
    </row>
    <row r="13" spans="1:2" x14ac:dyDescent="0.35">
      <c r="A13" s="6" t="s">
        <v>52</v>
      </c>
      <c r="B13" s="4">
        <v>8920</v>
      </c>
    </row>
  </sheetData>
  <conditionalFormatting pivot="1" sqref="B4:B12">
    <cfRule type="cellIs" dxfId="2" priority="2" operator="greaterThan">
      <formula>1000</formula>
    </cfRule>
  </conditionalFormatting>
  <conditionalFormatting pivot="1" sqref="B4:B12">
    <cfRule type="cellIs" dxfId="0" priority="1" operator="lessThan">
      <formula>900</formula>
    </cfRule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CA6EC-2F9D-4B0D-8C9F-FAC219293EBB}">
  <dimension ref="A1:M106"/>
  <sheetViews>
    <sheetView workbookViewId="0">
      <selection activeCell="H1" sqref="H1"/>
    </sheetView>
  </sheetViews>
  <sheetFormatPr defaultRowHeight="14.5" x14ac:dyDescent="0.35"/>
  <cols>
    <col min="1" max="1" width="19" style="2" customWidth="1"/>
    <col min="2" max="2" width="14.81640625" style="1" customWidth="1"/>
    <col min="3" max="3" width="13.453125" style="2" customWidth="1"/>
    <col min="4" max="4" width="13.453125" style="3" customWidth="1"/>
    <col min="5" max="5" width="13.453125" customWidth="1"/>
    <col min="6" max="6" width="14.36328125" customWidth="1"/>
    <col min="7" max="7" width="14.90625" bestFit="1" customWidth="1"/>
    <col min="8" max="8" width="10.54296875" style="4" bestFit="1" customWidth="1"/>
    <col min="9" max="9" width="11.6328125" bestFit="1" customWidth="1"/>
    <col min="13" max="13" width="10.1796875" bestFit="1" customWidth="1"/>
  </cols>
  <sheetData>
    <row r="1" spans="1:13" x14ac:dyDescent="0.35">
      <c r="A1" s="2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t="s">
        <v>33</v>
      </c>
      <c r="G1" t="s">
        <v>42</v>
      </c>
      <c r="H1" s="4" t="s">
        <v>43</v>
      </c>
      <c r="I1" t="s">
        <v>44</v>
      </c>
      <c r="J1" t="s">
        <v>50</v>
      </c>
    </row>
    <row r="2" spans="1:13" x14ac:dyDescent="0.35">
      <c r="A2" s="2">
        <v>1125</v>
      </c>
      <c r="B2" s="1">
        <v>44958</v>
      </c>
      <c r="C2" s="2">
        <v>11</v>
      </c>
      <c r="D2" s="3">
        <v>704</v>
      </c>
      <c r="E2" s="3">
        <v>6</v>
      </c>
      <c r="F2" t="str">
        <f>VLOOKUP(C2,'customers'!A:B,2,FALSE)</f>
        <v>Anthony</v>
      </c>
      <c r="G2" t="str">
        <f>INDEX(products!B:B, MATCH(D2, products!A:A, 0))</f>
        <v>Eggs</v>
      </c>
      <c r="H2" s="4">
        <f>VLOOKUP(orders[[#This Row],[product_id]],products[#All],7,0)</f>
        <v>65</v>
      </c>
      <c r="I2">
        <f>orders[qty]*orders[price]</f>
        <v>390</v>
      </c>
      <c r="J2">
        <f>INDEX(products!C:C,MATCH(D2,products!A:A),0)</f>
        <v>155</v>
      </c>
    </row>
    <row r="3" spans="1:13" x14ac:dyDescent="0.35">
      <c r="A3" s="2">
        <v>1127</v>
      </c>
      <c r="B3" s="1">
        <v>44958</v>
      </c>
      <c r="C3" s="2">
        <v>19</v>
      </c>
      <c r="D3" s="3">
        <v>392</v>
      </c>
      <c r="E3" s="3">
        <v>2</v>
      </c>
      <c r="F3" t="str">
        <f>VLOOKUP(C3,'customers'!A:B,2,FALSE)</f>
        <v>Ahmed</v>
      </c>
      <c r="G3" t="str">
        <f>INDEX(products!B:B, MATCH(D3, products!A:A, 0))</f>
        <v>Yogurt</v>
      </c>
      <c r="H3" s="4">
        <f>VLOOKUP(orders[[#This Row],[product_id]],products[#All],7,0)</f>
        <v>30</v>
      </c>
      <c r="I3">
        <f>orders[qty]*orders[price]</f>
        <v>60</v>
      </c>
      <c r="J3">
        <f>INDEX(products!C:C,MATCH(D3,products!A:A),0)</f>
        <v>131</v>
      </c>
    </row>
    <row r="4" spans="1:13" x14ac:dyDescent="0.35">
      <c r="A4" s="2">
        <v>1152</v>
      </c>
      <c r="B4" s="1">
        <v>44958</v>
      </c>
      <c r="C4" s="2">
        <v>14</v>
      </c>
      <c r="D4" s="3">
        <v>646</v>
      </c>
      <c r="E4" s="3">
        <v>7</v>
      </c>
      <c r="F4" t="str">
        <f>VLOOKUP(C4,'customers'!A:B,2,FALSE)</f>
        <v>Ravi</v>
      </c>
      <c r="G4" t="str">
        <f>INDEX(products!B:B, MATCH(D4, products!A:A, 0))</f>
        <v xml:space="preserve">  Apple</v>
      </c>
      <c r="H4" s="4">
        <f>VLOOKUP(orders[[#This Row],[product_id]],products[#All],7,0)</f>
        <v>200</v>
      </c>
      <c r="I4">
        <f>orders[qty]*orders[price]</f>
        <v>1400</v>
      </c>
      <c r="J4">
        <f>INDEX(products!C:C,MATCH(D4,products!A:A),0)</f>
        <v>41</v>
      </c>
    </row>
    <row r="5" spans="1:13" x14ac:dyDescent="0.35">
      <c r="A5" s="2">
        <v>1153</v>
      </c>
      <c r="B5" s="1">
        <v>44958</v>
      </c>
      <c r="C5" s="2">
        <v>35</v>
      </c>
      <c r="D5" s="3">
        <v>294</v>
      </c>
      <c r="E5" s="3">
        <v>9</v>
      </c>
      <c r="F5" t="str">
        <f>VLOOKUP(C5,'customers'!A:B,2,FALSE)</f>
        <v>MiKe</v>
      </c>
      <c r="G5" t="str">
        <f>INDEX(products!B:B, MATCH(D5, products!A:A, 0))</f>
        <v>Rice</v>
      </c>
      <c r="H5" s="4">
        <f>VLOOKUP(orders[[#This Row],[product_id]],products[#All],7,0)</f>
        <v>80</v>
      </c>
      <c r="I5">
        <f>orders[qty]*orders[price]</f>
        <v>720</v>
      </c>
      <c r="J5">
        <f>INDEX(products!C:C,MATCH(D5,products!A:A),0)</f>
        <v>130</v>
      </c>
    </row>
    <row r="6" spans="1:13" x14ac:dyDescent="0.35">
      <c r="A6" s="2">
        <v>1161</v>
      </c>
      <c r="B6" s="1">
        <v>44958</v>
      </c>
      <c r="C6" s="2">
        <v>35</v>
      </c>
      <c r="D6" s="3">
        <v>651</v>
      </c>
      <c r="E6" s="3">
        <v>6</v>
      </c>
      <c r="F6" t="str">
        <f>VLOOKUP(C6,'customers'!A:B,2,FALSE)</f>
        <v>MiKe</v>
      </c>
      <c r="G6" t="str">
        <f>INDEX(products!B:B, MATCH(D6, products!A:A, 0))</f>
        <v>Banana</v>
      </c>
      <c r="H6" s="4">
        <f>VLOOKUP(orders[[#This Row],[product_id]],products[#All],7,0)</f>
        <v>80</v>
      </c>
      <c r="I6">
        <f>orders[qty]*orders[price]</f>
        <v>480</v>
      </c>
      <c r="J6">
        <f>INDEX(products!C:C,MATCH(D6,products!A:A),0)</f>
        <v>41</v>
      </c>
    </row>
    <row r="7" spans="1:13" x14ac:dyDescent="0.35">
      <c r="A7" s="2">
        <v>1163</v>
      </c>
      <c r="B7" s="1">
        <v>44959</v>
      </c>
      <c r="C7" s="2">
        <v>50</v>
      </c>
      <c r="D7" s="3">
        <v>646</v>
      </c>
      <c r="E7" s="3">
        <v>4</v>
      </c>
      <c r="F7" t="str">
        <f>VLOOKUP(C7,'customers'!A:B,2,FALSE)</f>
        <v>Bruce</v>
      </c>
      <c r="G7" t="str">
        <f>INDEX(products!B:B, MATCH(D7, products!A:A, 0))</f>
        <v xml:space="preserve">  Apple</v>
      </c>
      <c r="H7" s="4">
        <f>VLOOKUP(orders[[#This Row],[product_id]],products[#All],7,0)</f>
        <v>200</v>
      </c>
      <c r="I7">
        <f>orders[qty]*orders[price]</f>
        <v>800</v>
      </c>
      <c r="J7">
        <f>INDEX(products!C:C,MATCH(D7,products!A:A),0)</f>
        <v>41</v>
      </c>
      <c r="L7" t="s">
        <v>45</v>
      </c>
      <c r="M7">
        <f>SUM(orders[price])</f>
        <v>8920</v>
      </c>
    </row>
    <row r="8" spans="1:13" x14ac:dyDescent="0.35">
      <c r="A8" s="2">
        <v>1167</v>
      </c>
      <c r="B8" s="1">
        <v>44959</v>
      </c>
      <c r="C8" s="2">
        <v>35</v>
      </c>
      <c r="D8" s="3">
        <v>739</v>
      </c>
      <c r="E8" s="3">
        <v>9</v>
      </c>
      <c r="F8" t="str">
        <f>VLOOKUP(C8,'customers'!A:B,2,FALSE)</f>
        <v>MiKe</v>
      </c>
      <c r="G8" t="str">
        <f>INDEX(products!B:B, MATCH(D8, products!A:A, 0))</f>
        <v xml:space="preserve"> Donut</v>
      </c>
      <c r="H8" s="4">
        <f>VLOOKUP(orders[[#This Row],[product_id]],products[#All],7,0)</f>
        <v>40</v>
      </c>
      <c r="I8">
        <f>orders[qty]*orders[price]</f>
        <v>360</v>
      </c>
      <c r="J8">
        <f>INDEX(products!C:C,MATCH(D8,products!A:A),0)</f>
        <v>152</v>
      </c>
      <c r="L8" t="s">
        <v>46</v>
      </c>
      <c r="M8">
        <f>AVERAGE(orders[price])</f>
        <v>84.952380952380949</v>
      </c>
    </row>
    <row r="9" spans="1:13" x14ac:dyDescent="0.35">
      <c r="A9" s="2">
        <v>1167</v>
      </c>
      <c r="B9" s="1">
        <v>44959</v>
      </c>
      <c r="C9" s="2">
        <v>35</v>
      </c>
      <c r="D9" s="3">
        <v>739</v>
      </c>
      <c r="E9" s="3">
        <v>8</v>
      </c>
      <c r="F9" t="str">
        <f>VLOOKUP(C9,'customers'!A:B,2,FALSE)</f>
        <v>MiKe</v>
      </c>
      <c r="G9" t="str">
        <f>INDEX(products!B:B, MATCH(D9, products!A:A, 0))</f>
        <v xml:space="preserve"> Donut</v>
      </c>
      <c r="H9" s="4">
        <f>VLOOKUP(orders[[#This Row],[product_id]],products[#All],7,0)</f>
        <v>40</v>
      </c>
      <c r="I9">
        <f>orders[qty]*orders[price]</f>
        <v>320</v>
      </c>
      <c r="J9">
        <f>INDEX(products!C:C,MATCH(D9,products!A:A),0)</f>
        <v>152</v>
      </c>
      <c r="L9" t="s">
        <v>47</v>
      </c>
      <c r="M9">
        <f>COUNT(orders[price])</f>
        <v>105</v>
      </c>
    </row>
    <row r="10" spans="1:13" x14ac:dyDescent="0.35">
      <c r="A10" s="2">
        <v>1176</v>
      </c>
      <c r="B10" s="1">
        <v>44959</v>
      </c>
      <c r="C10" s="2">
        <v>11</v>
      </c>
      <c r="D10" s="3">
        <v>628</v>
      </c>
      <c r="E10" s="3">
        <v>5</v>
      </c>
      <c r="F10" t="str">
        <f>VLOOKUP(C10,'customers'!A:B,2,FALSE)</f>
        <v>Anthony</v>
      </c>
      <c r="G10" t="str">
        <f>INDEX(products!B:B, MATCH(D10, products!A:A, 0))</f>
        <v>Fish</v>
      </c>
      <c r="H10" s="4">
        <f>VLOOKUP(orders[[#This Row],[product_id]],products[#All],7,0)</f>
        <v>120</v>
      </c>
      <c r="I10">
        <f>orders[qty]*orders[price]</f>
        <v>600</v>
      </c>
      <c r="J10">
        <f>INDEX(products!C:C,MATCH(D10,products!A:A),0)</f>
        <v>41</v>
      </c>
      <c r="L10" t="s">
        <v>48</v>
      </c>
      <c r="M10">
        <f>COUNTIF(orders[product name],"eggs")</f>
        <v>10</v>
      </c>
    </row>
    <row r="11" spans="1:13" x14ac:dyDescent="0.35">
      <c r="A11" s="2">
        <v>1183</v>
      </c>
      <c r="B11" s="1">
        <v>44959</v>
      </c>
      <c r="C11" s="2">
        <v>21</v>
      </c>
      <c r="D11" s="3">
        <v>163</v>
      </c>
      <c r="E11" s="3">
        <v>7</v>
      </c>
      <c r="F11" t="str">
        <f>VLOOKUP(C11,'customers'!A:B,2,FALSE)</f>
        <v>Lisa</v>
      </c>
      <c r="G11" t="str">
        <f>INDEX(products!B:B, MATCH(D11, products!A:A, 0))</f>
        <v>Grape Juice</v>
      </c>
      <c r="H11" s="4">
        <f>VLOOKUP(orders[[#This Row],[product_id]],products[#All],7,0)</f>
        <v>40</v>
      </c>
      <c r="I11">
        <f>orders[qty]*orders[price]</f>
        <v>280</v>
      </c>
      <c r="J11" t="e">
        <f>INDEX(products!C:C,MATCH(D11,products!A:A),0)</f>
        <v>#N/A</v>
      </c>
      <c r="L11" t="s">
        <v>49</v>
      </c>
      <c r="M11" s="4">
        <f>SUMIF(orders[product name],"eggs",orders[total price])</f>
        <v>2665</v>
      </c>
    </row>
    <row r="12" spans="1:13" x14ac:dyDescent="0.35">
      <c r="A12" s="2">
        <v>1187</v>
      </c>
      <c r="B12" s="1">
        <v>44959</v>
      </c>
      <c r="C12" s="2">
        <v>19</v>
      </c>
      <c r="D12" s="3">
        <v>594</v>
      </c>
      <c r="E12" s="3">
        <v>6</v>
      </c>
      <c r="F12" t="str">
        <f>VLOOKUP(C12,'customers'!A:B,2,FALSE)</f>
        <v>Ahmed</v>
      </c>
      <c r="G12" t="str">
        <f>INDEX(products!B:B, MATCH(D12, products!A:A, 0))</f>
        <v>Chicken</v>
      </c>
      <c r="H12" s="4">
        <f>VLOOKUP(orders[[#This Row],[product_id]],products[#All],7,0)</f>
        <v>250</v>
      </c>
      <c r="I12">
        <f>orders[qty]*orders[price]</f>
        <v>1500</v>
      </c>
      <c r="J12">
        <f>INDEX(products!C:C,MATCH(D12,products!A:A),0)</f>
        <v>41</v>
      </c>
    </row>
    <row r="13" spans="1:13" x14ac:dyDescent="0.35">
      <c r="A13" s="2">
        <v>1193</v>
      </c>
      <c r="B13" s="1">
        <v>44960</v>
      </c>
      <c r="C13" s="2">
        <v>34</v>
      </c>
      <c r="D13" s="3">
        <v>651</v>
      </c>
      <c r="E13" s="3">
        <v>2</v>
      </c>
      <c r="F13" t="str">
        <f>VLOOKUP(C13,'customers'!A:B,2,FALSE)</f>
        <v>Jay</v>
      </c>
      <c r="G13" t="str">
        <f>INDEX(products!B:B, MATCH(D13, products!A:A, 0))</f>
        <v>Banana</v>
      </c>
      <c r="H13" s="4">
        <f>VLOOKUP(orders[[#This Row],[product_id]],products[#All],7,0)</f>
        <v>80</v>
      </c>
      <c r="I13">
        <f>orders[qty]*orders[price]</f>
        <v>160</v>
      </c>
      <c r="J13">
        <f>INDEX(products!C:C,MATCH(D13,products!A:A),0)</f>
        <v>41</v>
      </c>
    </row>
    <row r="14" spans="1:13" x14ac:dyDescent="0.35">
      <c r="A14" s="2">
        <v>1194</v>
      </c>
      <c r="B14" s="1">
        <v>44960</v>
      </c>
      <c r="C14" s="2">
        <v>11</v>
      </c>
      <c r="D14" s="3">
        <v>600</v>
      </c>
      <c r="E14" s="3">
        <v>9</v>
      </c>
      <c r="F14" t="str">
        <f>VLOOKUP(C14,'customers'!A:B,2,FALSE)</f>
        <v>Anthony</v>
      </c>
      <c r="G14" t="str">
        <f>INDEX(products!B:B, MATCH(D14, products!A:A, 0))</f>
        <v xml:space="preserve">      Grapefruit</v>
      </c>
      <c r="H14" s="4">
        <f>VLOOKUP(orders[[#This Row],[product_id]],products[#All],7,0)</f>
        <v>20</v>
      </c>
      <c r="I14">
        <f>orders[qty]*orders[price]</f>
        <v>180</v>
      </c>
      <c r="J14">
        <f>INDEX(products!C:C,MATCH(D14,products!A:A),0)</f>
        <v>41</v>
      </c>
    </row>
    <row r="15" spans="1:13" x14ac:dyDescent="0.35">
      <c r="A15" s="2">
        <v>1195</v>
      </c>
      <c r="B15" s="1">
        <v>44960</v>
      </c>
      <c r="C15" s="2">
        <v>29</v>
      </c>
      <c r="D15" s="3">
        <v>739</v>
      </c>
      <c r="E15" s="3">
        <v>3</v>
      </c>
      <c r="F15" t="str">
        <f>VLOOKUP(C15,'customers'!A:B,2,FALSE)</f>
        <v>John</v>
      </c>
      <c r="G15" t="str">
        <f>INDEX(products!B:B, MATCH(D15, products!A:A, 0))</f>
        <v xml:space="preserve"> Donut</v>
      </c>
      <c r="H15" s="4">
        <f>VLOOKUP(orders[[#This Row],[product_id]],products[#All],7,0)</f>
        <v>40</v>
      </c>
      <c r="I15">
        <f>orders[qty]*orders[price]</f>
        <v>120</v>
      </c>
      <c r="J15">
        <f>INDEX(products!C:C,MATCH(D15,products!A:A),0)</f>
        <v>152</v>
      </c>
    </row>
    <row r="16" spans="1:13" x14ac:dyDescent="0.35">
      <c r="A16" s="2">
        <v>1199</v>
      </c>
      <c r="B16" s="1">
        <v>44960</v>
      </c>
      <c r="C16" s="2">
        <v>35</v>
      </c>
      <c r="D16" s="3">
        <v>797</v>
      </c>
      <c r="E16" s="3"/>
      <c r="F16" t="str">
        <f>VLOOKUP(C16,'customers'!A:B,2,FALSE)</f>
        <v>MiKe</v>
      </c>
      <c r="G16" t="str">
        <f>INDEX(products!B:B, MATCH(D16, products!A:A, 0))</f>
        <v xml:space="preserve">   Cheese</v>
      </c>
      <c r="H16" s="4">
        <f>VLOOKUP(orders[[#This Row],[product_id]],products[#All],7,0)</f>
        <v>80</v>
      </c>
      <c r="I16">
        <f>orders[qty]*orders[price]</f>
        <v>0</v>
      </c>
      <c r="J16">
        <f>INDEX(products!C:C,MATCH(D16,products!A:A),0)</f>
        <v>250</v>
      </c>
    </row>
    <row r="17" spans="1:10" x14ac:dyDescent="0.35">
      <c r="A17" s="2">
        <v>1200</v>
      </c>
      <c r="B17" s="1">
        <v>44960</v>
      </c>
      <c r="C17" s="2">
        <v>79</v>
      </c>
      <c r="D17" s="3">
        <v>521</v>
      </c>
      <c r="E17" s="3">
        <v>3</v>
      </c>
      <c r="F17" t="str">
        <f>VLOOKUP(C17,'customers'!A:B,2,FALSE)</f>
        <v>Tim</v>
      </c>
      <c r="G17" t="str">
        <f>INDEX(products!B:B, MATCH(D17, products!A:A, 0))</f>
        <v>Carrot</v>
      </c>
      <c r="H17" s="4">
        <f>VLOOKUP(orders[[#This Row],[product_id]],products[#All],7,0)</f>
        <v>40</v>
      </c>
      <c r="I17">
        <f>orders[qty]*orders[price]</f>
        <v>120</v>
      </c>
      <c r="J17">
        <f>INDEX(products!C:C,MATCH(D17,products!A:A),0)</f>
        <v>41</v>
      </c>
    </row>
    <row r="18" spans="1:10" x14ac:dyDescent="0.35">
      <c r="A18" s="2">
        <v>1206</v>
      </c>
      <c r="B18" s="1">
        <v>44961</v>
      </c>
      <c r="C18" s="2">
        <v>11</v>
      </c>
      <c r="D18" s="3">
        <v>886</v>
      </c>
      <c r="E18" s="3"/>
      <c r="F18" t="str">
        <f>VLOOKUP(C18,'customers'!A:B,2,FALSE)</f>
        <v>Anthony</v>
      </c>
      <c r="G18" t="str">
        <f>INDEX(products!B:B, MATCH(D18, products!A:A, 0))</f>
        <v>Avocado</v>
      </c>
      <c r="H18" s="4">
        <f>VLOOKUP(orders[[#This Row],[product_id]],products[#All],7,0)</f>
        <v>100</v>
      </c>
      <c r="I18">
        <f>orders[qty]*orders[price]</f>
        <v>0</v>
      </c>
      <c r="J18">
        <f>INDEX(products!C:C,MATCH(D18,products!A:A),0)</f>
        <v>250</v>
      </c>
    </row>
    <row r="19" spans="1:10" x14ac:dyDescent="0.35">
      <c r="A19" s="2">
        <v>1211</v>
      </c>
      <c r="B19" s="1">
        <v>44961</v>
      </c>
      <c r="C19" s="2">
        <v>79</v>
      </c>
      <c r="D19" s="3">
        <v>646</v>
      </c>
      <c r="E19" s="3">
        <v>7</v>
      </c>
      <c r="F19" t="str">
        <f>VLOOKUP(C19,'customers'!A:B,2,FALSE)</f>
        <v>Tim</v>
      </c>
      <c r="G19" t="str">
        <f>INDEX(products!B:B, MATCH(D19, products!A:A, 0))</f>
        <v xml:space="preserve">  Apple</v>
      </c>
      <c r="H19" s="4">
        <f>VLOOKUP(orders[[#This Row],[product_id]],products[#All],7,0)</f>
        <v>200</v>
      </c>
      <c r="I19">
        <f>orders[qty]*orders[price]</f>
        <v>1400</v>
      </c>
      <c r="J19">
        <f>INDEX(products!C:C,MATCH(D19,products!A:A),0)</f>
        <v>41</v>
      </c>
    </row>
    <row r="20" spans="1:10" x14ac:dyDescent="0.35">
      <c r="A20" s="2">
        <v>1213</v>
      </c>
      <c r="B20" s="1">
        <v>44961</v>
      </c>
      <c r="C20" s="2">
        <v>29</v>
      </c>
      <c r="D20" s="3">
        <v>328</v>
      </c>
      <c r="E20" s="3">
        <v>10</v>
      </c>
      <c r="F20" t="str">
        <f>VLOOKUP(C20,'customers'!A:B,2,FALSE)</f>
        <v>John</v>
      </c>
      <c r="G20" t="str">
        <f>INDEX(products!B:B, MATCH(D20, products!A:A, 0))</f>
        <v>Pasta</v>
      </c>
      <c r="H20" s="4">
        <f>VLOOKUP(orders[[#This Row],[product_id]],products[#All],7,0)</f>
        <v>60</v>
      </c>
      <c r="I20">
        <f>orders[qty]*orders[price]</f>
        <v>600</v>
      </c>
      <c r="J20">
        <f>INDEX(products!C:C,MATCH(D20,products!A:A),0)</f>
        <v>131</v>
      </c>
    </row>
    <row r="21" spans="1:10" x14ac:dyDescent="0.35">
      <c r="A21" s="2">
        <v>1215</v>
      </c>
      <c r="B21" s="1">
        <v>44961</v>
      </c>
      <c r="C21" s="2">
        <v>21</v>
      </c>
      <c r="D21" s="3">
        <v>811</v>
      </c>
      <c r="E21" s="3">
        <v>3</v>
      </c>
      <c r="F21" t="str">
        <f>VLOOKUP(C21,'customers'!A:B,2,FALSE)</f>
        <v>Lisa</v>
      </c>
      <c r="G21" t="str">
        <f>INDEX(products!B:B, MATCH(D21, products!A:A, 0))</f>
        <v>Celery</v>
      </c>
      <c r="H21" s="4">
        <f>VLOOKUP(orders[[#This Row],[product_id]],products[#All],7,0)</f>
        <v>50</v>
      </c>
      <c r="I21">
        <f>orders[qty]*orders[price]</f>
        <v>150</v>
      </c>
      <c r="J21">
        <f>INDEX(products!C:C,MATCH(D21,products!A:A),0)</f>
        <v>250</v>
      </c>
    </row>
    <row r="22" spans="1:10" x14ac:dyDescent="0.35">
      <c r="A22" s="2">
        <v>1227</v>
      </c>
      <c r="B22" s="1">
        <v>44961</v>
      </c>
      <c r="C22" s="2">
        <v>50</v>
      </c>
      <c r="D22" s="3">
        <v>704</v>
      </c>
      <c r="E22" s="3">
        <v>5</v>
      </c>
      <c r="F22" t="str">
        <f>VLOOKUP(C22,'customers'!A:B,2,FALSE)</f>
        <v>Bruce</v>
      </c>
      <c r="G22" t="str">
        <f>INDEX(products!B:B, MATCH(D22, products!A:A, 0))</f>
        <v>Eggs</v>
      </c>
      <c r="H22" s="4">
        <f>VLOOKUP(orders[[#This Row],[product_id]],products[#All],7,0)</f>
        <v>65</v>
      </c>
      <c r="I22">
        <f>orders[qty]*orders[price]</f>
        <v>325</v>
      </c>
      <c r="J22">
        <f>INDEX(products!C:C,MATCH(D22,products!A:A),0)</f>
        <v>155</v>
      </c>
    </row>
    <row r="23" spans="1:10" x14ac:dyDescent="0.35">
      <c r="A23" s="2">
        <v>1233</v>
      </c>
      <c r="B23" s="1">
        <v>44962</v>
      </c>
      <c r="C23" s="2">
        <v>79</v>
      </c>
      <c r="D23" s="3">
        <v>328</v>
      </c>
      <c r="E23" s="3">
        <v>10</v>
      </c>
      <c r="F23" t="str">
        <f>VLOOKUP(C23,'customers'!A:B,2,FALSE)</f>
        <v>Tim</v>
      </c>
      <c r="G23" t="str">
        <f>INDEX(products!B:B, MATCH(D23, products!A:A, 0))</f>
        <v>Pasta</v>
      </c>
      <c r="H23" s="4">
        <f>VLOOKUP(orders[[#This Row],[product_id]],products[#All],7,0)</f>
        <v>60</v>
      </c>
      <c r="I23">
        <f>orders[qty]*orders[price]</f>
        <v>600</v>
      </c>
      <c r="J23">
        <f>INDEX(products!C:C,MATCH(D23,products!A:A),0)</f>
        <v>131</v>
      </c>
    </row>
    <row r="24" spans="1:10" x14ac:dyDescent="0.35">
      <c r="A24" s="2">
        <v>1235</v>
      </c>
      <c r="B24" s="1">
        <v>44962</v>
      </c>
      <c r="C24" s="2">
        <v>14</v>
      </c>
      <c r="D24" s="3">
        <v>163</v>
      </c>
      <c r="E24" s="3">
        <v>10</v>
      </c>
      <c r="F24" t="str">
        <f>VLOOKUP(C24,'customers'!A:B,2,FALSE)</f>
        <v>Ravi</v>
      </c>
      <c r="G24" t="str">
        <f>INDEX(products!B:B, MATCH(D24, products!A:A, 0))</f>
        <v>Grape Juice</v>
      </c>
      <c r="H24" s="4">
        <f>VLOOKUP(orders[[#This Row],[product_id]],products[#All],7,0)</f>
        <v>40</v>
      </c>
      <c r="I24">
        <f>orders[qty]*orders[price]</f>
        <v>400</v>
      </c>
      <c r="J24" t="e">
        <f>INDEX(products!C:C,MATCH(D24,products!A:A),0)</f>
        <v>#N/A</v>
      </c>
    </row>
    <row r="25" spans="1:10" x14ac:dyDescent="0.35">
      <c r="A25" s="2">
        <v>1255</v>
      </c>
      <c r="B25" s="1">
        <v>44962</v>
      </c>
      <c r="C25" s="2">
        <v>50</v>
      </c>
      <c r="D25" s="3">
        <v>521</v>
      </c>
      <c r="E25" s="3">
        <v>2</v>
      </c>
      <c r="F25" t="str">
        <f>VLOOKUP(C25,'customers'!A:B,2,FALSE)</f>
        <v>Bruce</v>
      </c>
      <c r="G25" t="str">
        <f>INDEX(products!B:B, MATCH(D25, products!A:A, 0))</f>
        <v>Carrot</v>
      </c>
      <c r="H25" s="4">
        <f>VLOOKUP(orders[[#This Row],[product_id]],products[#All],7,0)</f>
        <v>40</v>
      </c>
      <c r="I25">
        <f>orders[qty]*orders[price]</f>
        <v>80</v>
      </c>
      <c r="J25">
        <f>INDEX(products!C:C,MATCH(D25,products!A:A),0)</f>
        <v>41</v>
      </c>
    </row>
    <row r="26" spans="1:10" x14ac:dyDescent="0.35">
      <c r="A26" s="2">
        <v>1257</v>
      </c>
      <c r="B26" s="1">
        <v>44962</v>
      </c>
      <c r="C26" s="2">
        <v>11</v>
      </c>
      <c r="D26" s="3">
        <v>590</v>
      </c>
      <c r="E26" s="3">
        <v>8</v>
      </c>
      <c r="F26" t="str">
        <f>VLOOKUP(C26,'customers'!A:B,2,FALSE)</f>
        <v>Anthony</v>
      </c>
      <c r="G26" t="str">
        <f>INDEX(products!B:B, MATCH(D26, products!A:A, 0))</f>
        <v>French Fries</v>
      </c>
      <c r="H26" s="4">
        <f>VLOOKUP(orders[[#This Row],[product_id]],products[#All],7,0)</f>
        <v>50</v>
      </c>
      <c r="I26">
        <f>orders[qty]*orders[price]</f>
        <v>400</v>
      </c>
      <c r="J26">
        <f>INDEX(products!C:C,MATCH(D26,products!A:A),0)</f>
        <v>41</v>
      </c>
    </row>
    <row r="27" spans="1:10" x14ac:dyDescent="0.35">
      <c r="A27" s="2">
        <v>1258</v>
      </c>
      <c r="B27" s="1">
        <v>44962</v>
      </c>
      <c r="C27" s="2">
        <v>34</v>
      </c>
      <c r="D27" s="3">
        <v>704</v>
      </c>
      <c r="E27" s="3">
        <v>4</v>
      </c>
      <c r="F27" t="str">
        <f>VLOOKUP(C27,'customers'!A:B,2,FALSE)</f>
        <v>Jay</v>
      </c>
      <c r="G27" t="str">
        <f>INDEX(products!B:B, MATCH(D27, products!A:A, 0))</f>
        <v>Eggs</v>
      </c>
      <c r="H27" s="4">
        <f>VLOOKUP(orders[[#This Row],[product_id]],products[#All],7,0)</f>
        <v>65</v>
      </c>
      <c r="I27">
        <f>orders[qty]*orders[price]</f>
        <v>260</v>
      </c>
      <c r="J27">
        <f>INDEX(products!C:C,MATCH(D27,products!A:A),0)</f>
        <v>155</v>
      </c>
    </row>
    <row r="28" spans="1:10" x14ac:dyDescent="0.35">
      <c r="A28" s="2">
        <v>1273</v>
      </c>
      <c r="B28" s="1">
        <v>44963</v>
      </c>
      <c r="C28" s="2">
        <v>50</v>
      </c>
      <c r="D28" s="3">
        <v>886</v>
      </c>
      <c r="E28" s="3">
        <v>3</v>
      </c>
      <c r="F28" t="str">
        <f>VLOOKUP(C28,'customers'!A:B,2,FALSE)</f>
        <v>Bruce</v>
      </c>
      <c r="G28" t="str">
        <f>INDEX(products!B:B, MATCH(D28, products!A:A, 0))</f>
        <v>Avocado</v>
      </c>
      <c r="H28" s="4">
        <f>VLOOKUP(orders[[#This Row],[product_id]],products[#All],7,0)</f>
        <v>100</v>
      </c>
      <c r="I28">
        <f>orders[qty]*orders[price]</f>
        <v>300</v>
      </c>
      <c r="J28">
        <f>INDEX(products!C:C,MATCH(D28,products!A:A),0)</f>
        <v>250</v>
      </c>
    </row>
    <row r="29" spans="1:10" x14ac:dyDescent="0.35">
      <c r="A29" s="2">
        <v>1277</v>
      </c>
      <c r="B29" s="1">
        <v>44963</v>
      </c>
      <c r="C29" s="2">
        <v>34</v>
      </c>
      <c r="D29" s="3">
        <v>704</v>
      </c>
      <c r="E29" s="3">
        <v>6</v>
      </c>
      <c r="F29" t="str">
        <f>VLOOKUP(C29,'customers'!A:B,2,FALSE)</f>
        <v>Jay</v>
      </c>
      <c r="G29" t="str">
        <f>INDEX(products!B:B, MATCH(D29, products!A:A, 0))</f>
        <v>Eggs</v>
      </c>
      <c r="H29" s="4">
        <f>VLOOKUP(orders[[#This Row],[product_id]],products[#All],7,0)</f>
        <v>65</v>
      </c>
      <c r="I29">
        <f>orders[qty]*orders[price]</f>
        <v>390</v>
      </c>
      <c r="J29">
        <f>INDEX(products!C:C,MATCH(D29,products!A:A),0)</f>
        <v>155</v>
      </c>
    </row>
    <row r="30" spans="1:10" x14ac:dyDescent="0.35">
      <c r="A30" s="2">
        <v>1289</v>
      </c>
      <c r="B30" s="1">
        <v>44963</v>
      </c>
      <c r="C30" s="2">
        <v>19</v>
      </c>
      <c r="D30" s="3">
        <v>811</v>
      </c>
      <c r="E30" s="3">
        <v>6</v>
      </c>
      <c r="F30" t="str">
        <f>VLOOKUP(C30,'customers'!A:B,2,FALSE)</f>
        <v>Ahmed</v>
      </c>
      <c r="G30" t="str">
        <f>INDEX(products!B:B, MATCH(D30, products!A:A, 0))</f>
        <v>Celery</v>
      </c>
      <c r="H30" s="4">
        <f>VLOOKUP(orders[[#This Row],[product_id]],products[#All],7,0)</f>
        <v>50</v>
      </c>
      <c r="I30">
        <f>orders[qty]*orders[price]</f>
        <v>300</v>
      </c>
      <c r="J30">
        <f>INDEX(products!C:C,MATCH(D30,products!A:A),0)</f>
        <v>250</v>
      </c>
    </row>
    <row r="31" spans="1:10" x14ac:dyDescent="0.35">
      <c r="A31" s="2">
        <v>1290</v>
      </c>
      <c r="B31" s="1">
        <v>44963</v>
      </c>
      <c r="C31" s="2">
        <v>35</v>
      </c>
      <c r="D31" s="3">
        <v>600</v>
      </c>
      <c r="E31" s="3">
        <v>5</v>
      </c>
      <c r="F31" t="str">
        <f>VLOOKUP(C31,'customers'!A:B,2,FALSE)</f>
        <v>MiKe</v>
      </c>
      <c r="G31" t="str">
        <f>INDEX(products!B:B, MATCH(D31, products!A:A, 0))</f>
        <v xml:space="preserve">      Grapefruit</v>
      </c>
      <c r="H31" s="4">
        <f>VLOOKUP(orders[[#This Row],[product_id]],products[#All],7,0)</f>
        <v>20</v>
      </c>
      <c r="I31">
        <f>orders[qty]*orders[price]</f>
        <v>100</v>
      </c>
      <c r="J31">
        <f>INDEX(products!C:C,MATCH(D31,products!A:A),0)</f>
        <v>41</v>
      </c>
    </row>
    <row r="32" spans="1:10" x14ac:dyDescent="0.35">
      <c r="A32" s="2">
        <v>1292</v>
      </c>
      <c r="B32" s="1">
        <v>44963</v>
      </c>
      <c r="C32" s="2">
        <v>14</v>
      </c>
      <c r="D32" s="3">
        <v>804</v>
      </c>
      <c r="E32" s="3">
        <v>2</v>
      </c>
      <c r="F32" t="str">
        <f>VLOOKUP(C32,'customers'!A:B,2,FALSE)</f>
        <v>Ravi</v>
      </c>
      <c r="G32" t="str">
        <f>INDEX(products!B:B, MATCH(D32, products!A:A, 0))</f>
        <v>Broccoli</v>
      </c>
      <c r="H32" s="4">
        <f>VLOOKUP(orders[[#This Row],[product_id]],products[#All],7,0)</f>
        <v>30</v>
      </c>
      <c r="I32">
        <f>orders[qty]*orders[price]</f>
        <v>60</v>
      </c>
      <c r="J32">
        <f>INDEX(products!C:C,MATCH(D32,products!A:A),0)</f>
        <v>250</v>
      </c>
    </row>
    <row r="33" spans="1:10" x14ac:dyDescent="0.35">
      <c r="A33" s="2">
        <v>1294</v>
      </c>
      <c r="B33" s="1">
        <v>44964</v>
      </c>
      <c r="C33" s="2">
        <v>19</v>
      </c>
      <c r="D33" s="3">
        <v>651</v>
      </c>
      <c r="E33" s="3">
        <v>3</v>
      </c>
      <c r="F33" t="str">
        <f>VLOOKUP(C33,'customers'!A:B,2,FALSE)</f>
        <v>Ahmed</v>
      </c>
      <c r="G33" t="str">
        <f>INDEX(products!B:B, MATCH(D33, products!A:A, 0))</f>
        <v>Banana</v>
      </c>
      <c r="H33" s="4">
        <f>VLOOKUP(orders[[#This Row],[product_id]],products[#All],7,0)</f>
        <v>80</v>
      </c>
      <c r="I33">
        <f>orders[qty]*orders[price]</f>
        <v>240</v>
      </c>
      <c r="J33">
        <f>INDEX(products!C:C,MATCH(D33,products!A:A),0)</f>
        <v>41</v>
      </c>
    </row>
    <row r="34" spans="1:10" x14ac:dyDescent="0.35">
      <c r="A34" s="2">
        <v>1295</v>
      </c>
      <c r="B34" s="1">
        <v>44964</v>
      </c>
      <c r="C34" s="2">
        <v>14</v>
      </c>
      <c r="D34" s="3">
        <v>521</v>
      </c>
      <c r="E34" s="3">
        <v>4</v>
      </c>
      <c r="F34" t="str">
        <f>VLOOKUP(C34,'customers'!A:B,2,FALSE)</f>
        <v>Ravi</v>
      </c>
      <c r="G34" t="str">
        <f>INDEX(products!B:B, MATCH(D34, products!A:A, 0))</f>
        <v>Carrot</v>
      </c>
      <c r="H34" s="4">
        <f>VLOOKUP(orders[[#This Row],[product_id]],products[#All],7,0)</f>
        <v>40</v>
      </c>
      <c r="I34">
        <f>orders[qty]*orders[price]</f>
        <v>160</v>
      </c>
      <c r="J34">
        <f>INDEX(products!C:C,MATCH(D34,products!A:A),0)</f>
        <v>41</v>
      </c>
    </row>
    <row r="35" spans="1:10" x14ac:dyDescent="0.35">
      <c r="A35" s="2">
        <v>1297</v>
      </c>
      <c r="B35" s="1">
        <v>44964</v>
      </c>
      <c r="C35" s="2">
        <v>35</v>
      </c>
      <c r="D35" s="3">
        <v>628</v>
      </c>
      <c r="E35" s="3">
        <v>9</v>
      </c>
      <c r="F35" t="str">
        <f>VLOOKUP(C35,'customers'!A:B,2,FALSE)</f>
        <v>MiKe</v>
      </c>
      <c r="G35" t="str">
        <f>INDEX(products!B:B, MATCH(D35, products!A:A, 0))</f>
        <v>Fish</v>
      </c>
      <c r="H35" s="4">
        <f>VLOOKUP(orders[[#This Row],[product_id]],products[#All],7,0)</f>
        <v>120</v>
      </c>
      <c r="I35">
        <f>orders[qty]*orders[price]</f>
        <v>1080</v>
      </c>
      <c r="J35">
        <f>INDEX(products!C:C,MATCH(D35,products!A:A),0)</f>
        <v>41</v>
      </c>
    </row>
    <row r="36" spans="1:10" x14ac:dyDescent="0.35">
      <c r="A36" s="2">
        <v>1297</v>
      </c>
      <c r="B36" s="1">
        <v>44964</v>
      </c>
      <c r="C36" s="2">
        <v>35</v>
      </c>
      <c r="D36" s="3">
        <v>628</v>
      </c>
      <c r="E36" s="3">
        <v>3</v>
      </c>
      <c r="F36" t="str">
        <f>VLOOKUP(C36,'customers'!A:B,2,FALSE)</f>
        <v>MiKe</v>
      </c>
      <c r="G36" t="str">
        <f>INDEX(products!B:B, MATCH(D36, products!A:A, 0))</f>
        <v>Fish</v>
      </c>
      <c r="H36" s="4">
        <f>VLOOKUP(orders[[#This Row],[product_id]],products[#All],7,0)</f>
        <v>120</v>
      </c>
      <c r="I36">
        <f>orders[qty]*orders[price]</f>
        <v>360</v>
      </c>
      <c r="J36">
        <f>INDEX(products!C:C,MATCH(D36,products!A:A),0)</f>
        <v>41</v>
      </c>
    </row>
    <row r="37" spans="1:10" x14ac:dyDescent="0.35">
      <c r="A37" s="2">
        <v>1300</v>
      </c>
      <c r="B37" s="1">
        <v>44964</v>
      </c>
      <c r="C37" s="2">
        <v>35</v>
      </c>
      <c r="D37" s="3">
        <v>797</v>
      </c>
      <c r="E37" s="3">
        <v>4</v>
      </c>
      <c r="F37" t="str">
        <f>VLOOKUP(C37,'customers'!A:B,2,FALSE)</f>
        <v>MiKe</v>
      </c>
      <c r="G37" t="str">
        <f>INDEX(products!B:B, MATCH(D37, products!A:A, 0))</f>
        <v xml:space="preserve">   Cheese</v>
      </c>
      <c r="H37" s="4">
        <f>VLOOKUP(orders[[#This Row],[product_id]],products[#All],7,0)</f>
        <v>80</v>
      </c>
      <c r="I37">
        <f>orders[qty]*orders[price]</f>
        <v>320</v>
      </c>
      <c r="J37">
        <f>INDEX(products!C:C,MATCH(D37,products!A:A),0)</f>
        <v>250</v>
      </c>
    </row>
    <row r="38" spans="1:10" x14ac:dyDescent="0.35">
      <c r="A38" s="2">
        <v>1302</v>
      </c>
      <c r="B38" s="1">
        <v>44964</v>
      </c>
      <c r="C38" s="2">
        <v>34</v>
      </c>
      <c r="D38" s="3">
        <v>328</v>
      </c>
      <c r="E38" s="3">
        <v>3</v>
      </c>
      <c r="F38" t="str">
        <f>VLOOKUP(C38,'customers'!A:B,2,FALSE)</f>
        <v>Jay</v>
      </c>
      <c r="G38" t="str">
        <f>INDEX(products!B:B, MATCH(D38, products!A:A, 0))</f>
        <v>Pasta</v>
      </c>
      <c r="H38" s="4">
        <f>VLOOKUP(orders[[#This Row],[product_id]],products[#All],7,0)</f>
        <v>60</v>
      </c>
      <c r="I38">
        <f>orders[qty]*orders[price]</f>
        <v>180</v>
      </c>
      <c r="J38">
        <f>INDEX(products!C:C,MATCH(D38,products!A:A),0)</f>
        <v>131</v>
      </c>
    </row>
    <row r="39" spans="1:10" x14ac:dyDescent="0.35">
      <c r="A39" s="2">
        <v>1309</v>
      </c>
      <c r="B39" s="1">
        <v>44965</v>
      </c>
      <c r="C39" s="2">
        <v>34</v>
      </c>
      <c r="D39" s="3">
        <v>163</v>
      </c>
      <c r="E39" s="3"/>
      <c r="F39" t="str">
        <f>VLOOKUP(C39,'customers'!A:B,2,FALSE)</f>
        <v>Jay</v>
      </c>
      <c r="G39" t="str">
        <f>INDEX(products!B:B, MATCH(D39, products!A:A, 0))</f>
        <v>Grape Juice</v>
      </c>
      <c r="H39" s="4">
        <f>VLOOKUP(orders[[#This Row],[product_id]],products[#All],7,0)</f>
        <v>40</v>
      </c>
      <c r="I39">
        <f>orders[qty]*orders[price]</f>
        <v>0</v>
      </c>
      <c r="J39" t="e">
        <f>INDEX(products!C:C,MATCH(D39,products!A:A),0)</f>
        <v>#N/A</v>
      </c>
    </row>
    <row r="40" spans="1:10" x14ac:dyDescent="0.35">
      <c r="A40" s="2">
        <v>1310</v>
      </c>
      <c r="B40" s="1">
        <v>44965</v>
      </c>
      <c r="C40" s="2">
        <v>79</v>
      </c>
      <c r="D40" s="3">
        <v>484</v>
      </c>
      <c r="E40" s="3">
        <v>3</v>
      </c>
      <c r="F40" t="str">
        <f>VLOOKUP(C40,'customers'!A:B,2,FALSE)</f>
        <v>Tim</v>
      </c>
      <c r="G40" t="str">
        <f>INDEX(products!B:B, MATCH(D40, products!A:A, 0))</f>
        <v xml:space="preserve">          Hamburger</v>
      </c>
      <c r="H40" s="4">
        <f>VLOOKUP(orders[[#This Row],[product_id]],products[#All],7,0)</f>
        <v>70</v>
      </c>
      <c r="I40">
        <f>orders[qty]*orders[price]</f>
        <v>210</v>
      </c>
      <c r="J40">
        <f>INDEX(products!C:C,MATCH(D40,products!A:A),0)</f>
        <v>131</v>
      </c>
    </row>
    <row r="41" spans="1:10" x14ac:dyDescent="0.35">
      <c r="A41" s="2">
        <v>1318</v>
      </c>
      <c r="B41" s="1">
        <v>44965</v>
      </c>
      <c r="C41" s="2">
        <v>29</v>
      </c>
      <c r="D41" s="3">
        <v>794</v>
      </c>
      <c r="E41" s="3">
        <v>3</v>
      </c>
      <c r="F41" t="str">
        <f>VLOOKUP(C41,'customers'!A:B,2,FALSE)</f>
        <v>John</v>
      </c>
      <c r="G41" t="str">
        <f>INDEX(products!B:B, MATCH(D41, products!A:A, 0))</f>
        <v>Grilled Cheese</v>
      </c>
      <c r="H41" s="4">
        <f>VLOOKUP(orders[[#This Row],[product_id]],products[#All],7,0)</f>
        <v>100</v>
      </c>
      <c r="I41">
        <f>orders[qty]*orders[price]</f>
        <v>300</v>
      </c>
      <c r="J41">
        <f>INDEX(products!C:C,MATCH(D41,products!A:A),0)</f>
        <v>440</v>
      </c>
    </row>
    <row r="42" spans="1:10" x14ac:dyDescent="0.35">
      <c r="A42" s="2">
        <v>1319</v>
      </c>
      <c r="B42" s="1">
        <v>44965</v>
      </c>
      <c r="C42" s="2">
        <v>14</v>
      </c>
      <c r="D42" s="3">
        <v>521</v>
      </c>
      <c r="E42" s="3">
        <v>6</v>
      </c>
      <c r="F42" t="str">
        <f>VLOOKUP(C42,'customers'!A:B,2,FALSE)</f>
        <v>Ravi</v>
      </c>
      <c r="G42" t="str">
        <f>INDEX(products!B:B, MATCH(D42, products!A:A, 0))</f>
        <v>Carrot</v>
      </c>
      <c r="H42" s="4">
        <f>VLOOKUP(orders[[#This Row],[product_id]],products[#All],7,0)</f>
        <v>40</v>
      </c>
      <c r="I42">
        <f>orders[qty]*orders[price]</f>
        <v>240</v>
      </c>
      <c r="J42">
        <f>INDEX(products!C:C,MATCH(D42,products!A:A),0)</f>
        <v>41</v>
      </c>
    </row>
    <row r="43" spans="1:10" x14ac:dyDescent="0.35">
      <c r="A43" s="2">
        <v>1321</v>
      </c>
      <c r="B43" s="1">
        <v>44965</v>
      </c>
      <c r="C43" s="2">
        <v>21</v>
      </c>
      <c r="D43" s="3">
        <v>594</v>
      </c>
      <c r="E43" s="3">
        <v>7</v>
      </c>
      <c r="F43" t="str">
        <f>VLOOKUP(C43,'customers'!A:B,2,FALSE)</f>
        <v>Lisa</v>
      </c>
      <c r="G43" t="str">
        <f>INDEX(products!B:B, MATCH(D43, products!A:A, 0))</f>
        <v>Chicken</v>
      </c>
      <c r="H43" s="4">
        <f>VLOOKUP(orders[[#This Row],[product_id]],products[#All],7,0)</f>
        <v>250</v>
      </c>
      <c r="I43">
        <f>orders[qty]*orders[price]</f>
        <v>1750</v>
      </c>
      <c r="J43">
        <f>INDEX(products!C:C,MATCH(D43,products!A:A),0)</f>
        <v>41</v>
      </c>
    </row>
    <row r="44" spans="1:10" x14ac:dyDescent="0.35">
      <c r="A44" s="2">
        <v>1323</v>
      </c>
      <c r="B44" s="1">
        <v>44966</v>
      </c>
      <c r="C44" s="2">
        <v>79</v>
      </c>
      <c r="D44" s="3">
        <v>646</v>
      </c>
      <c r="E44" s="3">
        <v>9</v>
      </c>
      <c r="F44" t="str">
        <f>VLOOKUP(C44,'customers'!A:B,2,FALSE)</f>
        <v>Tim</v>
      </c>
      <c r="G44" t="str">
        <f>INDEX(products!B:B, MATCH(D44, products!A:A, 0))</f>
        <v xml:space="preserve">  Apple</v>
      </c>
      <c r="H44" s="4">
        <f>VLOOKUP(orders[[#This Row],[product_id]],products[#All],7,0)</f>
        <v>200</v>
      </c>
      <c r="I44">
        <f>orders[qty]*orders[price]</f>
        <v>1800</v>
      </c>
      <c r="J44">
        <f>INDEX(products!C:C,MATCH(D44,products!A:A),0)</f>
        <v>41</v>
      </c>
    </row>
    <row r="45" spans="1:10" x14ac:dyDescent="0.35">
      <c r="A45" s="2">
        <v>1324</v>
      </c>
      <c r="B45" s="1">
        <v>44966</v>
      </c>
      <c r="C45" s="2">
        <v>19</v>
      </c>
      <c r="D45" s="3">
        <v>594</v>
      </c>
      <c r="E45" s="3">
        <v>8</v>
      </c>
      <c r="F45" t="str">
        <f>VLOOKUP(C45,'customers'!A:B,2,FALSE)</f>
        <v>Ahmed</v>
      </c>
      <c r="G45" t="str">
        <f>INDEX(products!B:B, MATCH(D45, products!A:A, 0))</f>
        <v>Chicken</v>
      </c>
      <c r="H45" s="4">
        <f>VLOOKUP(orders[[#This Row],[product_id]],products[#All],7,0)</f>
        <v>250</v>
      </c>
      <c r="I45">
        <f>orders[qty]*orders[price]</f>
        <v>2000</v>
      </c>
      <c r="J45">
        <f>INDEX(products!C:C,MATCH(D45,products!A:A),0)</f>
        <v>41</v>
      </c>
    </row>
    <row r="46" spans="1:10" x14ac:dyDescent="0.35">
      <c r="A46" s="2">
        <v>1327</v>
      </c>
      <c r="B46" s="1">
        <v>44966</v>
      </c>
      <c r="C46" s="2">
        <v>50</v>
      </c>
      <c r="D46" s="3">
        <v>392</v>
      </c>
      <c r="E46" s="3">
        <v>9</v>
      </c>
      <c r="F46" t="str">
        <f>VLOOKUP(C46,'customers'!A:B,2,FALSE)</f>
        <v>Bruce</v>
      </c>
      <c r="G46" t="str">
        <f>INDEX(products!B:B, MATCH(D46, products!A:A, 0))</f>
        <v>Yogurt</v>
      </c>
      <c r="H46" s="4">
        <f>VLOOKUP(orders[[#This Row],[product_id]],products[#All],7,0)</f>
        <v>30</v>
      </c>
      <c r="I46">
        <f>orders[qty]*orders[price]</f>
        <v>270</v>
      </c>
      <c r="J46">
        <f>INDEX(products!C:C,MATCH(D46,products!A:A),0)</f>
        <v>131</v>
      </c>
    </row>
    <row r="47" spans="1:10" x14ac:dyDescent="0.35">
      <c r="A47" s="2">
        <v>1330</v>
      </c>
      <c r="B47" s="1">
        <v>44966</v>
      </c>
      <c r="C47" s="2">
        <v>29</v>
      </c>
      <c r="D47" s="3">
        <v>804</v>
      </c>
      <c r="E47" s="3">
        <v>10</v>
      </c>
      <c r="F47" t="str">
        <f>VLOOKUP(C47,'customers'!A:B,2,FALSE)</f>
        <v>John</v>
      </c>
      <c r="G47" t="str">
        <f>INDEX(products!B:B, MATCH(D47, products!A:A, 0))</f>
        <v>Broccoli</v>
      </c>
      <c r="H47" s="4">
        <f>VLOOKUP(orders[[#This Row],[product_id]],products[#All],7,0)</f>
        <v>30</v>
      </c>
      <c r="I47">
        <f>orders[qty]*orders[price]</f>
        <v>300</v>
      </c>
      <c r="J47">
        <f>INDEX(products!C:C,MATCH(D47,products!A:A),0)</f>
        <v>250</v>
      </c>
    </row>
    <row r="48" spans="1:10" x14ac:dyDescent="0.35">
      <c r="A48" s="2">
        <v>1335</v>
      </c>
      <c r="B48" s="1">
        <v>44966</v>
      </c>
      <c r="C48" s="2">
        <v>34</v>
      </c>
      <c r="D48" s="3">
        <v>811</v>
      </c>
      <c r="E48" s="3">
        <v>6</v>
      </c>
      <c r="F48" t="str">
        <f>VLOOKUP(C48,'customers'!A:B,2,FALSE)</f>
        <v>Jay</v>
      </c>
      <c r="G48" t="str">
        <f>INDEX(products!B:B, MATCH(D48, products!A:A, 0))</f>
        <v>Celery</v>
      </c>
      <c r="H48" s="4">
        <f>VLOOKUP(orders[[#This Row],[product_id]],products[#All],7,0)</f>
        <v>50</v>
      </c>
      <c r="I48">
        <f>orders[qty]*orders[price]</f>
        <v>300</v>
      </c>
      <c r="J48">
        <f>INDEX(products!C:C,MATCH(D48,products!A:A),0)</f>
        <v>250</v>
      </c>
    </row>
    <row r="49" spans="1:10" x14ac:dyDescent="0.35">
      <c r="A49" s="2">
        <v>1338</v>
      </c>
      <c r="B49" s="1">
        <v>44967</v>
      </c>
      <c r="C49" s="2">
        <v>14</v>
      </c>
      <c r="D49" s="3">
        <v>521</v>
      </c>
      <c r="E49" s="3">
        <v>5</v>
      </c>
      <c r="F49" t="str">
        <f>VLOOKUP(C49,'customers'!A:B,2,FALSE)</f>
        <v>Ravi</v>
      </c>
      <c r="G49" t="str">
        <f>INDEX(products!B:B, MATCH(D49, products!A:A, 0))</f>
        <v>Carrot</v>
      </c>
      <c r="H49" s="4">
        <f>VLOOKUP(orders[[#This Row],[product_id]],products[#All],7,0)</f>
        <v>40</v>
      </c>
      <c r="I49">
        <f>orders[qty]*orders[price]</f>
        <v>200</v>
      </c>
      <c r="J49">
        <f>INDEX(products!C:C,MATCH(D49,products!A:A),0)</f>
        <v>41</v>
      </c>
    </row>
    <row r="50" spans="1:10" x14ac:dyDescent="0.35">
      <c r="A50" s="2">
        <v>1339</v>
      </c>
      <c r="B50" s="1">
        <v>44967</v>
      </c>
      <c r="C50" s="2">
        <v>35</v>
      </c>
      <c r="D50" s="3">
        <v>886</v>
      </c>
      <c r="E50" s="3"/>
      <c r="F50" t="str">
        <f>VLOOKUP(C50,'customers'!A:B,2,FALSE)</f>
        <v>MiKe</v>
      </c>
      <c r="G50" t="str">
        <f>INDEX(products!B:B, MATCH(D50, products!A:A, 0))</f>
        <v>Avocado</v>
      </c>
      <c r="H50" s="4">
        <f>VLOOKUP(orders[[#This Row],[product_id]],products[#All],7,0)</f>
        <v>100</v>
      </c>
      <c r="I50">
        <f>orders[qty]*orders[price]</f>
        <v>0</v>
      </c>
      <c r="J50">
        <f>INDEX(products!C:C,MATCH(D50,products!A:A),0)</f>
        <v>250</v>
      </c>
    </row>
    <row r="51" spans="1:10" x14ac:dyDescent="0.35">
      <c r="A51" s="2">
        <v>1341</v>
      </c>
      <c r="B51" s="1">
        <v>44967</v>
      </c>
      <c r="C51" s="2">
        <v>29</v>
      </c>
      <c r="D51" s="3">
        <v>600</v>
      </c>
      <c r="E51" s="3">
        <v>6</v>
      </c>
      <c r="F51" t="str">
        <f>VLOOKUP(C51,'customers'!A:B,2,FALSE)</f>
        <v>John</v>
      </c>
      <c r="G51" t="str">
        <f>INDEX(products!B:B, MATCH(D51, products!A:A, 0))</f>
        <v xml:space="preserve">      Grapefruit</v>
      </c>
      <c r="H51" s="4">
        <f>VLOOKUP(orders[[#This Row],[product_id]],products[#All],7,0)</f>
        <v>20</v>
      </c>
      <c r="I51">
        <f>orders[qty]*orders[price]</f>
        <v>120</v>
      </c>
      <c r="J51">
        <f>INDEX(products!C:C,MATCH(D51,products!A:A),0)</f>
        <v>41</v>
      </c>
    </row>
    <row r="52" spans="1:10" x14ac:dyDescent="0.35">
      <c r="A52" s="2">
        <v>1342</v>
      </c>
      <c r="B52" s="1">
        <v>44967</v>
      </c>
      <c r="C52" s="2">
        <v>11</v>
      </c>
      <c r="D52" s="3">
        <v>651</v>
      </c>
      <c r="E52" s="3">
        <v>6</v>
      </c>
      <c r="F52" t="str">
        <f>VLOOKUP(C52,'customers'!A:B,2,FALSE)</f>
        <v>Anthony</v>
      </c>
      <c r="G52" t="str">
        <f>INDEX(products!B:B, MATCH(D52, products!A:A, 0))</f>
        <v>Banana</v>
      </c>
      <c r="H52" s="4">
        <f>VLOOKUP(orders[[#This Row],[product_id]],products[#All],7,0)</f>
        <v>80</v>
      </c>
      <c r="I52">
        <f>orders[qty]*orders[price]</f>
        <v>480</v>
      </c>
      <c r="J52">
        <f>INDEX(products!C:C,MATCH(D52,products!A:A),0)</f>
        <v>41</v>
      </c>
    </row>
    <row r="53" spans="1:10" x14ac:dyDescent="0.35">
      <c r="A53" s="2">
        <v>1346</v>
      </c>
      <c r="B53" s="1">
        <v>44967</v>
      </c>
      <c r="C53" s="2">
        <v>21</v>
      </c>
      <c r="D53" s="3">
        <v>328</v>
      </c>
      <c r="E53" s="3">
        <v>2</v>
      </c>
      <c r="F53" t="str">
        <f>VLOOKUP(C53,'customers'!A:B,2,FALSE)</f>
        <v>Lisa</v>
      </c>
      <c r="G53" t="str">
        <f>INDEX(products!B:B, MATCH(D53, products!A:A, 0))</f>
        <v>Pasta</v>
      </c>
      <c r="H53" s="4">
        <f>VLOOKUP(orders[[#This Row],[product_id]],products[#All],7,0)</f>
        <v>60</v>
      </c>
      <c r="I53">
        <f>orders[qty]*orders[price]</f>
        <v>120</v>
      </c>
      <c r="J53">
        <f>INDEX(products!C:C,MATCH(D53,products!A:A),0)</f>
        <v>131</v>
      </c>
    </row>
    <row r="54" spans="1:10" x14ac:dyDescent="0.35">
      <c r="A54" s="2">
        <v>1347</v>
      </c>
      <c r="B54" s="1">
        <v>44968</v>
      </c>
      <c r="C54" s="2">
        <v>79</v>
      </c>
      <c r="D54" s="3">
        <v>862</v>
      </c>
      <c r="E54" s="3">
        <v>9</v>
      </c>
      <c r="F54" t="str">
        <f>VLOOKUP(C54,'customers'!A:B,2,FALSE)</f>
        <v>Tim</v>
      </c>
      <c r="G54" t="str">
        <f>INDEX(products!B:B, MATCH(D54, products!A:A, 0))</f>
        <v>Chocolate Cake</v>
      </c>
      <c r="H54" s="4">
        <f>VLOOKUP(orders[[#This Row],[product_id]],products[#All],7,0)</f>
        <v>200</v>
      </c>
      <c r="I54">
        <f>orders[qty]*orders[price]</f>
        <v>1800</v>
      </c>
      <c r="J54">
        <f>INDEX(products!C:C,MATCH(D54,products!A:A),0)</f>
        <v>250</v>
      </c>
    </row>
    <row r="55" spans="1:10" x14ac:dyDescent="0.35">
      <c r="A55" s="2">
        <v>1350</v>
      </c>
      <c r="B55" s="1">
        <v>44968</v>
      </c>
      <c r="C55" s="2">
        <v>19</v>
      </c>
      <c r="D55" s="3">
        <v>484</v>
      </c>
      <c r="E55" s="3">
        <v>9</v>
      </c>
      <c r="F55" t="str">
        <f>VLOOKUP(C55,'customers'!A:B,2,FALSE)</f>
        <v>Ahmed</v>
      </c>
      <c r="G55" t="str">
        <f>INDEX(products!B:B, MATCH(D55, products!A:A, 0))</f>
        <v xml:space="preserve">          Hamburger</v>
      </c>
      <c r="H55" s="4">
        <f>VLOOKUP(orders[[#This Row],[product_id]],products[#All],7,0)</f>
        <v>70</v>
      </c>
      <c r="I55">
        <f>orders[qty]*orders[price]</f>
        <v>630</v>
      </c>
      <c r="J55">
        <f>INDEX(products!C:C,MATCH(D55,products!A:A),0)</f>
        <v>131</v>
      </c>
    </row>
    <row r="56" spans="1:10" x14ac:dyDescent="0.35">
      <c r="A56" s="2">
        <v>1352</v>
      </c>
      <c r="B56" s="1">
        <v>44968</v>
      </c>
      <c r="C56" s="2">
        <v>35</v>
      </c>
      <c r="D56" s="3">
        <v>704</v>
      </c>
      <c r="E56" s="3">
        <v>4</v>
      </c>
      <c r="F56" t="str">
        <f>VLOOKUP(C56,'customers'!A:B,2,FALSE)</f>
        <v>MiKe</v>
      </c>
      <c r="G56" t="str">
        <f>INDEX(products!B:B, MATCH(D56, products!A:A, 0))</f>
        <v>Eggs</v>
      </c>
      <c r="H56" s="4">
        <f>VLOOKUP(orders[[#This Row],[product_id]],products[#All],7,0)</f>
        <v>65</v>
      </c>
      <c r="I56">
        <f>orders[qty]*orders[price]</f>
        <v>260</v>
      </c>
      <c r="J56">
        <f>INDEX(products!C:C,MATCH(D56,products!A:A),0)</f>
        <v>155</v>
      </c>
    </row>
    <row r="57" spans="1:10" x14ac:dyDescent="0.35">
      <c r="A57" s="2">
        <v>1352</v>
      </c>
      <c r="B57" s="1">
        <v>44968</v>
      </c>
      <c r="C57" s="2">
        <v>35</v>
      </c>
      <c r="D57" s="3">
        <v>704</v>
      </c>
      <c r="E57" s="3">
        <v>2</v>
      </c>
      <c r="F57" t="str">
        <f>VLOOKUP(C57,'customers'!A:B,2,FALSE)</f>
        <v>MiKe</v>
      </c>
      <c r="G57" t="str">
        <f>INDEX(products!B:B, MATCH(D57, products!A:A, 0))</f>
        <v>Eggs</v>
      </c>
      <c r="H57" s="4">
        <f>VLOOKUP(orders[[#This Row],[product_id]],products[#All],7,0)</f>
        <v>65</v>
      </c>
      <c r="I57">
        <f>orders[qty]*orders[price]</f>
        <v>130</v>
      </c>
      <c r="J57">
        <f>INDEX(products!C:C,MATCH(D57,products!A:A),0)</f>
        <v>155</v>
      </c>
    </row>
    <row r="58" spans="1:10" x14ac:dyDescent="0.35">
      <c r="A58" s="2">
        <v>1353</v>
      </c>
      <c r="B58" s="1">
        <v>44968</v>
      </c>
      <c r="C58" s="2">
        <v>34</v>
      </c>
      <c r="D58" s="3">
        <v>739</v>
      </c>
      <c r="E58" s="3">
        <v>3</v>
      </c>
      <c r="F58" t="str">
        <f>VLOOKUP(C58,'customers'!A:B,2,FALSE)</f>
        <v>Jay</v>
      </c>
      <c r="G58" t="str">
        <f>INDEX(products!B:B, MATCH(D58, products!A:A, 0))</f>
        <v xml:space="preserve"> Donut</v>
      </c>
      <c r="H58" s="4">
        <f>VLOOKUP(orders[[#This Row],[product_id]],products[#All],7,0)</f>
        <v>40</v>
      </c>
      <c r="I58">
        <f>orders[qty]*orders[price]</f>
        <v>120</v>
      </c>
      <c r="J58">
        <f>INDEX(products!C:C,MATCH(D58,products!A:A),0)</f>
        <v>152</v>
      </c>
    </row>
    <row r="59" spans="1:10" x14ac:dyDescent="0.35">
      <c r="A59" s="2">
        <v>1358</v>
      </c>
      <c r="B59" s="1">
        <v>44968</v>
      </c>
      <c r="C59" s="2">
        <v>50</v>
      </c>
      <c r="D59" s="3">
        <v>594</v>
      </c>
      <c r="E59" s="3">
        <v>9</v>
      </c>
      <c r="F59" t="str">
        <f>VLOOKUP(C59,'customers'!A:B,2,FALSE)</f>
        <v>Bruce</v>
      </c>
      <c r="G59" t="str">
        <f>INDEX(products!B:B, MATCH(D59, products!A:A, 0))</f>
        <v>Chicken</v>
      </c>
      <c r="H59" s="4">
        <f>VLOOKUP(orders[[#This Row],[product_id]],products[#All],7,0)</f>
        <v>250</v>
      </c>
      <c r="I59">
        <f>orders[qty]*orders[price]</f>
        <v>2250</v>
      </c>
      <c r="J59">
        <f>INDEX(products!C:C,MATCH(D59,products!A:A),0)</f>
        <v>41</v>
      </c>
    </row>
    <row r="60" spans="1:10" x14ac:dyDescent="0.35">
      <c r="A60" s="2">
        <v>1359</v>
      </c>
      <c r="B60" s="1">
        <v>44969</v>
      </c>
      <c r="C60" s="2">
        <v>35</v>
      </c>
      <c r="D60" s="3">
        <v>392</v>
      </c>
      <c r="E60" s="3">
        <v>3</v>
      </c>
      <c r="F60" t="str">
        <f>VLOOKUP(C60,'customers'!A:B,2,FALSE)</f>
        <v>MiKe</v>
      </c>
      <c r="G60" t="str">
        <f>INDEX(products!B:B, MATCH(D60, products!A:A, 0))</f>
        <v>Yogurt</v>
      </c>
      <c r="H60" s="4">
        <f>VLOOKUP(orders[[#This Row],[product_id]],products[#All],7,0)</f>
        <v>30</v>
      </c>
      <c r="I60">
        <f>orders[qty]*orders[price]</f>
        <v>90</v>
      </c>
      <c r="J60">
        <f>INDEX(products!C:C,MATCH(D60,products!A:A),0)</f>
        <v>131</v>
      </c>
    </row>
    <row r="61" spans="1:10" x14ac:dyDescent="0.35">
      <c r="A61" s="2">
        <v>1361</v>
      </c>
      <c r="B61" s="1">
        <v>44969</v>
      </c>
      <c r="C61" s="2">
        <v>35</v>
      </c>
      <c r="D61" s="3">
        <v>794</v>
      </c>
      <c r="E61" s="3">
        <v>7</v>
      </c>
      <c r="F61" t="str">
        <f>VLOOKUP(C61,'customers'!A:B,2,FALSE)</f>
        <v>MiKe</v>
      </c>
      <c r="G61" t="str">
        <f>INDEX(products!B:B, MATCH(D61, products!A:A, 0))</f>
        <v>Grilled Cheese</v>
      </c>
      <c r="H61" s="4">
        <f>VLOOKUP(orders[[#This Row],[product_id]],products[#All],7,0)</f>
        <v>100</v>
      </c>
      <c r="I61">
        <f>orders[qty]*orders[price]</f>
        <v>700</v>
      </c>
      <c r="J61">
        <f>INDEX(products!C:C,MATCH(D61,products!A:A),0)</f>
        <v>440</v>
      </c>
    </row>
    <row r="62" spans="1:10" x14ac:dyDescent="0.35">
      <c r="A62" s="2">
        <v>1364</v>
      </c>
      <c r="B62" s="1">
        <v>44969</v>
      </c>
      <c r="C62" s="2">
        <v>21</v>
      </c>
      <c r="D62" s="3">
        <v>739</v>
      </c>
      <c r="E62" s="3">
        <v>7</v>
      </c>
      <c r="F62" t="str">
        <f>VLOOKUP(C62,'customers'!A:B,2,FALSE)</f>
        <v>Lisa</v>
      </c>
      <c r="G62" t="str">
        <f>INDEX(products!B:B, MATCH(D62, products!A:A, 0))</f>
        <v xml:space="preserve"> Donut</v>
      </c>
      <c r="H62" s="4">
        <f>VLOOKUP(orders[[#This Row],[product_id]],products[#All],7,0)</f>
        <v>40</v>
      </c>
      <c r="I62">
        <f>orders[qty]*orders[price]</f>
        <v>280</v>
      </c>
      <c r="J62">
        <f>INDEX(products!C:C,MATCH(D62,products!A:A),0)</f>
        <v>152</v>
      </c>
    </row>
    <row r="63" spans="1:10" x14ac:dyDescent="0.35">
      <c r="A63" s="2">
        <v>1370</v>
      </c>
      <c r="B63" s="1">
        <v>44969</v>
      </c>
      <c r="C63" s="2">
        <v>50</v>
      </c>
      <c r="D63" s="3">
        <v>594</v>
      </c>
      <c r="E63" s="3">
        <v>10</v>
      </c>
      <c r="F63" t="str">
        <f>VLOOKUP(C63,'customers'!A:B,2,FALSE)</f>
        <v>Bruce</v>
      </c>
      <c r="G63" t="str">
        <f>INDEX(products!B:B, MATCH(D63, products!A:A, 0))</f>
        <v>Chicken</v>
      </c>
      <c r="H63" s="4">
        <f>VLOOKUP(orders[[#This Row],[product_id]],products[#All],7,0)</f>
        <v>250</v>
      </c>
      <c r="I63">
        <f>orders[qty]*orders[price]</f>
        <v>2500</v>
      </c>
      <c r="J63">
        <f>INDEX(products!C:C,MATCH(D63,products!A:A),0)</f>
        <v>41</v>
      </c>
    </row>
    <row r="64" spans="1:10" x14ac:dyDescent="0.35">
      <c r="A64" s="2">
        <v>1374</v>
      </c>
      <c r="B64" s="1">
        <v>44969</v>
      </c>
      <c r="C64" s="2">
        <v>19</v>
      </c>
      <c r="D64" s="3">
        <v>811</v>
      </c>
      <c r="E64" s="3">
        <v>8</v>
      </c>
      <c r="F64" t="str">
        <f>VLOOKUP(C64,'customers'!A:B,2,FALSE)</f>
        <v>Ahmed</v>
      </c>
      <c r="G64" t="str">
        <f>INDEX(products!B:B, MATCH(D64, products!A:A, 0))</f>
        <v>Celery</v>
      </c>
      <c r="H64" s="4">
        <f>VLOOKUP(orders[[#This Row],[product_id]],products[#All],7,0)</f>
        <v>50</v>
      </c>
      <c r="I64">
        <f>orders[qty]*orders[price]</f>
        <v>400</v>
      </c>
      <c r="J64">
        <f>INDEX(products!C:C,MATCH(D64,products!A:A),0)</f>
        <v>250</v>
      </c>
    </row>
    <row r="65" spans="1:10" x14ac:dyDescent="0.35">
      <c r="A65" s="2">
        <v>1379</v>
      </c>
      <c r="B65" s="1">
        <v>44970</v>
      </c>
      <c r="C65" s="2">
        <v>14</v>
      </c>
      <c r="D65" s="3">
        <v>794</v>
      </c>
      <c r="E65" s="3">
        <v>10</v>
      </c>
      <c r="F65" t="str">
        <f>VLOOKUP(C65,'customers'!A:B,2,FALSE)</f>
        <v>Ravi</v>
      </c>
      <c r="G65" t="str">
        <f>INDEX(products!B:B, MATCH(D65, products!A:A, 0))</f>
        <v>Grilled Cheese</v>
      </c>
      <c r="H65" s="4">
        <f>VLOOKUP(orders[[#This Row],[product_id]],products[#All],7,0)</f>
        <v>100</v>
      </c>
      <c r="I65">
        <f>orders[qty]*orders[price]</f>
        <v>1000</v>
      </c>
      <c r="J65">
        <f>INDEX(products!C:C,MATCH(D65,products!A:A),0)</f>
        <v>440</v>
      </c>
    </row>
    <row r="66" spans="1:10" x14ac:dyDescent="0.35">
      <c r="A66" s="2">
        <v>1382</v>
      </c>
      <c r="B66" s="1">
        <v>44970</v>
      </c>
      <c r="C66" s="2">
        <v>35</v>
      </c>
      <c r="D66" s="3">
        <v>862</v>
      </c>
      <c r="E66" s="3">
        <v>10</v>
      </c>
      <c r="F66" t="str">
        <f>VLOOKUP(C66,'customers'!A:B,2,FALSE)</f>
        <v>MiKe</v>
      </c>
      <c r="G66" t="str">
        <f>INDEX(products!B:B, MATCH(D66, products!A:A, 0))</f>
        <v>Chocolate Cake</v>
      </c>
      <c r="H66" s="4">
        <f>VLOOKUP(orders[[#This Row],[product_id]],products[#All],7,0)</f>
        <v>200</v>
      </c>
      <c r="I66">
        <f>orders[qty]*orders[price]</f>
        <v>2000</v>
      </c>
      <c r="J66">
        <f>INDEX(products!C:C,MATCH(D66,products!A:A),0)</f>
        <v>250</v>
      </c>
    </row>
    <row r="67" spans="1:10" x14ac:dyDescent="0.35">
      <c r="A67" s="2">
        <v>1388</v>
      </c>
      <c r="B67" s="1">
        <v>44970</v>
      </c>
      <c r="C67" s="2">
        <v>11</v>
      </c>
      <c r="D67" s="3">
        <v>804</v>
      </c>
      <c r="E67" s="3">
        <v>3</v>
      </c>
      <c r="F67" t="str">
        <f>VLOOKUP(C67,'customers'!A:B,2,FALSE)</f>
        <v>Anthony</v>
      </c>
      <c r="G67" t="str">
        <f>INDEX(products!B:B, MATCH(D67, products!A:A, 0))</f>
        <v>Broccoli</v>
      </c>
      <c r="H67" s="4">
        <f>VLOOKUP(orders[[#This Row],[product_id]],products[#All],7,0)</f>
        <v>30</v>
      </c>
      <c r="I67">
        <f>orders[qty]*orders[price]</f>
        <v>90</v>
      </c>
      <c r="J67">
        <f>INDEX(products!C:C,MATCH(D67,products!A:A),0)</f>
        <v>250</v>
      </c>
    </row>
    <row r="68" spans="1:10" x14ac:dyDescent="0.35">
      <c r="A68" s="2">
        <v>1395</v>
      </c>
      <c r="B68" s="1">
        <v>44970</v>
      </c>
      <c r="C68" s="2">
        <v>19</v>
      </c>
      <c r="D68" s="3">
        <v>590</v>
      </c>
      <c r="E68" s="3"/>
      <c r="F68" t="str">
        <f>VLOOKUP(C68,'customers'!A:B,2,FALSE)</f>
        <v>Ahmed</v>
      </c>
      <c r="G68" t="str">
        <f>INDEX(products!B:B, MATCH(D68, products!A:A, 0))</f>
        <v>French Fries</v>
      </c>
      <c r="H68" s="4">
        <f>VLOOKUP(orders[[#This Row],[product_id]],products[#All],7,0)</f>
        <v>50</v>
      </c>
      <c r="I68">
        <f>orders[qty]*orders[price]</f>
        <v>0</v>
      </c>
      <c r="J68">
        <f>INDEX(products!C:C,MATCH(D68,products!A:A),0)</f>
        <v>41</v>
      </c>
    </row>
    <row r="69" spans="1:10" x14ac:dyDescent="0.35">
      <c r="A69" s="2">
        <v>1396</v>
      </c>
      <c r="B69" s="1">
        <v>44970</v>
      </c>
      <c r="C69" s="2">
        <v>34</v>
      </c>
      <c r="D69" s="3">
        <v>628</v>
      </c>
      <c r="E69" s="3">
        <v>9</v>
      </c>
      <c r="F69" t="str">
        <f>VLOOKUP(C69,'customers'!A:B,2,FALSE)</f>
        <v>Jay</v>
      </c>
      <c r="G69" t="str">
        <f>INDEX(products!B:B, MATCH(D69, products!A:A, 0))</f>
        <v>Fish</v>
      </c>
      <c r="H69" s="4">
        <f>VLOOKUP(orders[[#This Row],[product_id]],products[#All],7,0)</f>
        <v>120</v>
      </c>
      <c r="I69">
        <f>orders[qty]*orders[price]</f>
        <v>1080</v>
      </c>
      <c r="J69">
        <f>INDEX(products!C:C,MATCH(D69,products!A:A),0)</f>
        <v>41</v>
      </c>
    </row>
    <row r="70" spans="1:10" x14ac:dyDescent="0.35">
      <c r="A70" s="2">
        <v>1397</v>
      </c>
      <c r="B70" s="1">
        <v>44971</v>
      </c>
      <c r="C70" s="2">
        <v>79</v>
      </c>
      <c r="D70" s="3">
        <v>797</v>
      </c>
      <c r="E70" s="3">
        <v>6</v>
      </c>
      <c r="F70" t="str">
        <f>VLOOKUP(C70,'customers'!A:B,2,FALSE)</f>
        <v>Tim</v>
      </c>
      <c r="G70" t="str">
        <f>INDEX(products!B:B, MATCH(D70, products!A:A, 0))</f>
        <v xml:space="preserve">   Cheese</v>
      </c>
      <c r="H70" s="4">
        <f>VLOOKUP(orders[[#This Row],[product_id]],products[#All],7,0)</f>
        <v>80</v>
      </c>
      <c r="I70">
        <f>orders[qty]*orders[price]</f>
        <v>480</v>
      </c>
      <c r="J70">
        <f>INDEX(products!C:C,MATCH(D70,products!A:A),0)</f>
        <v>250</v>
      </c>
    </row>
    <row r="71" spans="1:10" x14ac:dyDescent="0.35">
      <c r="A71" s="2">
        <v>1406</v>
      </c>
      <c r="B71" s="1">
        <v>44971</v>
      </c>
      <c r="C71" s="2">
        <v>19</v>
      </c>
      <c r="D71" s="3">
        <v>294</v>
      </c>
      <c r="E71" s="3">
        <v>3</v>
      </c>
      <c r="F71" t="str">
        <f>VLOOKUP(C71,'customers'!A:B,2,FALSE)</f>
        <v>Ahmed</v>
      </c>
      <c r="G71" t="str">
        <f>INDEX(products!B:B, MATCH(D71, products!A:A, 0))</f>
        <v>Rice</v>
      </c>
      <c r="H71" s="4">
        <f>VLOOKUP(orders[[#This Row],[product_id]],products[#All],7,0)</f>
        <v>80</v>
      </c>
      <c r="I71">
        <f>orders[qty]*orders[price]</f>
        <v>240</v>
      </c>
      <c r="J71">
        <f>INDEX(products!C:C,MATCH(D71,products!A:A),0)</f>
        <v>130</v>
      </c>
    </row>
    <row r="72" spans="1:10" x14ac:dyDescent="0.35">
      <c r="A72" s="2">
        <v>1420</v>
      </c>
      <c r="B72" s="1">
        <v>44971</v>
      </c>
      <c r="C72" s="2">
        <v>21</v>
      </c>
      <c r="D72" s="3">
        <v>590</v>
      </c>
      <c r="E72" s="3">
        <v>7</v>
      </c>
      <c r="F72" t="str">
        <f>VLOOKUP(C72,'customers'!A:B,2,FALSE)</f>
        <v>Lisa</v>
      </c>
      <c r="G72" t="str">
        <f>INDEX(products!B:B, MATCH(D72, products!A:A, 0))</f>
        <v>French Fries</v>
      </c>
      <c r="H72" s="4">
        <f>VLOOKUP(orders[[#This Row],[product_id]],products[#All],7,0)</f>
        <v>50</v>
      </c>
      <c r="I72">
        <f>orders[qty]*orders[price]</f>
        <v>350</v>
      </c>
      <c r="J72">
        <f>INDEX(products!C:C,MATCH(D72,products!A:A),0)</f>
        <v>41</v>
      </c>
    </row>
    <row r="73" spans="1:10" x14ac:dyDescent="0.35">
      <c r="A73" s="2">
        <v>1436</v>
      </c>
      <c r="B73" s="1">
        <v>44971</v>
      </c>
      <c r="C73" s="2">
        <v>35</v>
      </c>
      <c r="D73" s="3">
        <v>392</v>
      </c>
      <c r="E73" s="3">
        <v>3</v>
      </c>
      <c r="F73" t="str">
        <f>VLOOKUP(C73,'customers'!A:B,2,FALSE)</f>
        <v>MiKe</v>
      </c>
      <c r="G73" t="str">
        <f>INDEX(products!B:B, MATCH(D73, products!A:A, 0))</f>
        <v>Yogurt</v>
      </c>
      <c r="H73" s="4">
        <f>VLOOKUP(orders[[#This Row],[product_id]],products[#All],7,0)</f>
        <v>30</v>
      </c>
      <c r="I73">
        <f>orders[qty]*orders[price]</f>
        <v>90</v>
      </c>
      <c r="J73">
        <f>INDEX(products!C:C,MATCH(D73,products!A:A),0)</f>
        <v>131</v>
      </c>
    </row>
    <row r="74" spans="1:10" x14ac:dyDescent="0.35">
      <c r="A74" s="2">
        <v>1438</v>
      </c>
      <c r="B74" s="1">
        <v>44971</v>
      </c>
      <c r="C74" s="2">
        <v>14</v>
      </c>
      <c r="D74" s="3">
        <v>704</v>
      </c>
      <c r="E74" s="3">
        <v>4</v>
      </c>
      <c r="F74" t="str">
        <f>VLOOKUP(C74,'customers'!A:B,2,FALSE)</f>
        <v>Ravi</v>
      </c>
      <c r="G74" t="str">
        <f>INDEX(products!B:B, MATCH(D74, products!A:A, 0))</f>
        <v>Eggs</v>
      </c>
      <c r="H74" s="4">
        <f>VLOOKUP(orders[[#This Row],[product_id]],products[#All],7,0)</f>
        <v>65</v>
      </c>
      <c r="I74">
        <f>orders[qty]*orders[price]</f>
        <v>260</v>
      </c>
      <c r="J74">
        <f>INDEX(products!C:C,MATCH(D74,products!A:A),0)</f>
        <v>155</v>
      </c>
    </row>
    <row r="75" spans="1:10" x14ac:dyDescent="0.35">
      <c r="A75" s="2">
        <v>1445</v>
      </c>
      <c r="B75" s="1">
        <v>44972</v>
      </c>
      <c r="C75" s="2">
        <v>34</v>
      </c>
      <c r="D75" s="3">
        <v>704</v>
      </c>
      <c r="E75" s="3">
        <v>4</v>
      </c>
      <c r="F75" t="str">
        <f>VLOOKUP(C75,'customers'!A:B,2,FALSE)</f>
        <v>Jay</v>
      </c>
      <c r="G75" t="str">
        <f>INDEX(products!B:B, MATCH(D75, products!A:A, 0))</f>
        <v>Eggs</v>
      </c>
      <c r="H75" s="4">
        <f>VLOOKUP(orders[[#This Row],[product_id]],products[#All],7,0)</f>
        <v>65</v>
      </c>
      <c r="I75">
        <f>orders[qty]*orders[price]</f>
        <v>260</v>
      </c>
      <c r="J75">
        <f>INDEX(products!C:C,MATCH(D75,products!A:A),0)</f>
        <v>155</v>
      </c>
    </row>
    <row r="76" spans="1:10" x14ac:dyDescent="0.35">
      <c r="A76" s="2">
        <v>1455</v>
      </c>
      <c r="B76" s="1">
        <v>44972</v>
      </c>
      <c r="C76" s="2">
        <v>29</v>
      </c>
      <c r="D76" s="3">
        <v>294</v>
      </c>
      <c r="E76" s="3">
        <v>10</v>
      </c>
      <c r="F76" t="str">
        <f>VLOOKUP(C76,'customers'!A:B,2,FALSE)</f>
        <v>John</v>
      </c>
      <c r="G76" t="str">
        <f>INDEX(products!B:B, MATCH(D76, products!A:A, 0))</f>
        <v>Rice</v>
      </c>
      <c r="H76" s="4">
        <f>VLOOKUP(orders[[#This Row],[product_id]],products[#All],7,0)</f>
        <v>80</v>
      </c>
      <c r="I76">
        <f>orders[qty]*orders[price]</f>
        <v>800</v>
      </c>
      <c r="J76">
        <f>INDEX(products!C:C,MATCH(D76,products!A:A),0)</f>
        <v>130</v>
      </c>
    </row>
    <row r="77" spans="1:10" x14ac:dyDescent="0.35">
      <c r="A77" s="2">
        <v>1457</v>
      </c>
      <c r="B77" s="1">
        <v>44972</v>
      </c>
      <c r="C77" s="2">
        <v>50</v>
      </c>
      <c r="D77" s="3">
        <v>484</v>
      </c>
      <c r="E77" s="3">
        <v>10</v>
      </c>
      <c r="F77" t="str">
        <f>VLOOKUP(C77,'customers'!A:B,2,FALSE)</f>
        <v>Bruce</v>
      </c>
      <c r="G77" t="str">
        <f>INDEX(products!B:B, MATCH(D77, products!A:A, 0))</f>
        <v xml:space="preserve">          Hamburger</v>
      </c>
      <c r="H77" s="4">
        <f>VLOOKUP(orders[[#This Row],[product_id]],products[#All],7,0)</f>
        <v>70</v>
      </c>
      <c r="I77">
        <f>orders[qty]*orders[price]</f>
        <v>700</v>
      </c>
      <c r="J77">
        <f>INDEX(products!C:C,MATCH(D77,products!A:A),0)</f>
        <v>131</v>
      </c>
    </row>
    <row r="78" spans="1:10" x14ac:dyDescent="0.35">
      <c r="A78" s="2">
        <v>1457</v>
      </c>
      <c r="B78" s="1">
        <v>44972</v>
      </c>
      <c r="C78" s="2">
        <v>50</v>
      </c>
      <c r="D78" s="3">
        <v>484</v>
      </c>
      <c r="E78" s="3">
        <v>2</v>
      </c>
      <c r="F78" t="str">
        <f>VLOOKUP(C78,'customers'!A:B,2,FALSE)</f>
        <v>Bruce</v>
      </c>
      <c r="G78" t="str">
        <f>INDEX(products!B:B, MATCH(D78, products!A:A, 0))</f>
        <v xml:space="preserve">          Hamburger</v>
      </c>
      <c r="H78" s="4">
        <f>VLOOKUP(orders[[#This Row],[product_id]],products[#All],7,0)</f>
        <v>70</v>
      </c>
      <c r="I78">
        <f>orders[qty]*orders[price]</f>
        <v>140</v>
      </c>
      <c r="J78">
        <f>INDEX(products!C:C,MATCH(D78,products!A:A),0)</f>
        <v>131</v>
      </c>
    </row>
    <row r="79" spans="1:10" x14ac:dyDescent="0.35">
      <c r="A79" s="2">
        <v>1459</v>
      </c>
      <c r="B79" s="1">
        <v>44972</v>
      </c>
      <c r="C79" s="2">
        <v>14</v>
      </c>
      <c r="D79" s="3">
        <v>594</v>
      </c>
      <c r="E79" s="3">
        <v>5</v>
      </c>
      <c r="F79" t="str">
        <f>VLOOKUP(C79,'customers'!A:B,2,FALSE)</f>
        <v>Ravi</v>
      </c>
      <c r="G79" t="str">
        <f>INDEX(products!B:B, MATCH(D79, products!A:A, 0))</f>
        <v>Chicken</v>
      </c>
      <c r="H79" s="4">
        <f>VLOOKUP(orders[[#This Row],[product_id]],products[#All],7,0)</f>
        <v>250</v>
      </c>
      <c r="I79">
        <f>orders[qty]*orders[price]</f>
        <v>1250</v>
      </c>
      <c r="J79">
        <f>INDEX(products!C:C,MATCH(D79,products!A:A),0)</f>
        <v>41</v>
      </c>
    </row>
    <row r="80" spans="1:10" x14ac:dyDescent="0.35">
      <c r="A80" s="2">
        <v>1466</v>
      </c>
      <c r="B80" s="1">
        <v>44972</v>
      </c>
      <c r="C80" s="2">
        <v>35</v>
      </c>
      <c r="D80" s="3">
        <v>163</v>
      </c>
      <c r="E80" s="3">
        <v>6</v>
      </c>
      <c r="F80" t="str">
        <f>VLOOKUP(C80,'customers'!A:B,2,FALSE)</f>
        <v>MiKe</v>
      </c>
      <c r="G80" t="str">
        <f>INDEX(products!B:B, MATCH(D80, products!A:A, 0))</f>
        <v>Grape Juice</v>
      </c>
      <c r="H80" s="4">
        <f>VLOOKUP(orders[[#This Row],[product_id]],products[#All],7,0)</f>
        <v>40</v>
      </c>
      <c r="I80">
        <f>orders[qty]*orders[price]</f>
        <v>240</v>
      </c>
      <c r="J80" t="e">
        <f>INDEX(products!C:C,MATCH(D80,products!A:A),0)</f>
        <v>#N/A</v>
      </c>
    </row>
    <row r="81" spans="1:10" x14ac:dyDescent="0.35">
      <c r="A81" s="2">
        <v>1471</v>
      </c>
      <c r="B81" s="1">
        <v>44973</v>
      </c>
      <c r="C81" s="2">
        <v>50</v>
      </c>
      <c r="D81" s="3">
        <v>651</v>
      </c>
      <c r="E81" s="3">
        <v>8</v>
      </c>
      <c r="F81" t="str">
        <f>VLOOKUP(C81,'customers'!A:B,2,FALSE)</f>
        <v>Bruce</v>
      </c>
      <c r="G81" t="str">
        <f>INDEX(products!B:B, MATCH(D81, products!A:A, 0))</f>
        <v>Banana</v>
      </c>
      <c r="H81" s="4">
        <f>VLOOKUP(orders[[#This Row],[product_id]],products[#All],7,0)</f>
        <v>80</v>
      </c>
      <c r="I81">
        <f>orders[qty]*orders[price]</f>
        <v>640</v>
      </c>
      <c r="J81">
        <f>INDEX(products!C:C,MATCH(D81,products!A:A),0)</f>
        <v>41</v>
      </c>
    </row>
    <row r="82" spans="1:10" x14ac:dyDescent="0.35">
      <c r="A82" s="2">
        <v>1480</v>
      </c>
      <c r="B82" s="1">
        <v>44973</v>
      </c>
      <c r="C82" s="2">
        <v>19</v>
      </c>
      <c r="D82" s="3">
        <v>704</v>
      </c>
      <c r="E82" s="3">
        <v>2</v>
      </c>
      <c r="F82" t="str">
        <f>VLOOKUP(C82,'customers'!A:B,2,FALSE)</f>
        <v>Ahmed</v>
      </c>
      <c r="G82" t="str">
        <f>INDEX(products!B:B, MATCH(D82, products!A:A, 0))</f>
        <v>Eggs</v>
      </c>
      <c r="H82" s="4">
        <f>VLOOKUP(orders[[#This Row],[product_id]],products[#All],7,0)</f>
        <v>65</v>
      </c>
      <c r="I82">
        <f>orders[qty]*orders[price]</f>
        <v>130</v>
      </c>
      <c r="J82">
        <f>INDEX(products!C:C,MATCH(D82,products!A:A),0)</f>
        <v>155</v>
      </c>
    </row>
    <row r="83" spans="1:10" x14ac:dyDescent="0.35">
      <c r="A83" s="2">
        <v>1484</v>
      </c>
      <c r="B83" s="1">
        <v>44973</v>
      </c>
      <c r="C83" s="2">
        <v>35</v>
      </c>
      <c r="D83" s="3">
        <v>590</v>
      </c>
      <c r="E83" s="3">
        <v>8</v>
      </c>
      <c r="F83" t="str">
        <f>VLOOKUP(C83,'customers'!A:B,2,FALSE)</f>
        <v>MiKe</v>
      </c>
      <c r="G83" t="str">
        <f>INDEX(products!B:B, MATCH(D83, products!A:A, 0))</f>
        <v>French Fries</v>
      </c>
      <c r="H83" s="4">
        <f>VLOOKUP(orders[[#This Row],[product_id]],products[#All],7,0)</f>
        <v>50</v>
      </c>
      <c r="I83">
        <f>orders[qty]*orders[price]</f>
        <v>400</v>
      </c>
      <c r="J83">
        <f>INDEX(products!C:C,MATCH(D83,products!A:A),0)</f>
        <v>41</v>
      </c>
    </row>
    <row r="84" spans="1:10" x14ac:dyDescent="0.35">
      <c r="A84" s="2">
        <v>1487</v>
      </c>
      <c r="B84" s="1">
        <v>44973</v>
      </c>
      <c r="C84" s="2">
        <v>21</v>
      </c>
      <c r="D84" s="3">
        <v>811</v>
      </c>
      <c r="E84" s="3">
        <v>5</v>
      </c>
      <c r="F84" t="str">
        <f>VLOOKUP(C84,'customers'!A:B,2,FALSE)</f>
        <v>Lisa</v>
      </c>
      <c r="G84" t="str">
        <f>INDEX(products!B:B, MATCH(D84, products!A:A, 0))</f>
        <v>Celery</v>
      </c>
      <c r="H84" s="4">
        <f>VLOOKUP(orders[[#This Row],[product_id]],products[#All],7,0)</f>
        <v>50</v>
      </c>
      <c r="I84">
        <f>orders[qty]*orders[price]</f>
        <v>250</v>
      </c>
      <c r="J84">
        <f>INDEX(products!C:C,MATCH(D84,products!A:A),0)</f>
        <v>250</v>
      </c>
    </row>
    <row r="85" spans="1:10" x14ac:dyDescent="0.35">
      <c r="A85" s="2">
        <v>1489</v>
      </c>
      <c r="B85" s="1">
        <v>44973</v>
      </c>
      <c r="C85" s="2">
        <v>35</v>
      </c>
      <c r="D85" s="3">
        <v>594</v>
      </c>
      <c r="E85" s="3">
        <v>8</v>
      </c>
      <c r="F85" t="str">
        <f>VLOOKUP(C85,'customers'!A:B,2,FALSE)</f>
        <v>MiKe</v>
      </c>
      <c r="G85" t="str">
        <f>INDEX(products!B:B, MATCH(D85, products!A:A, 0))</f>
        <v>Chicken</v>
      </c>
      <c r="H85" s="4">
        <f>VLOOKUP(orders[[#This Row],[product_id]],products[#All],7,0)</f>
        <v>250</v>
      </c>
      <c r="I85">
        <f>orders[qty]*orders[price]</f>
        <v>2000</v>
      </c>
      <c r="J85">
        <f>INDEX(products!C:C,MATCH(D85,products!A:A),0)</f>
        <v>41</v>
      </c>
    </row>
    <row r="86" spans="1:10" x14ac:dyDescent="0.35">
      <c r="A86" s="2">
        <v>1491</v>
      </c>
      <c r="B86" s="1">
        <v>44974</v>
      </c>
      <c r="C86" s="2">
        <v>29</v>
      </c>
      <c r="D86" s="3">
        <v>739</v>
      </c>
      <c r="E86" s="3">
        <v>2</v>
      </c>
      <c r="F86" t="str">
        <f>VLOOKUP(C86,'customers'!A:B,2,FALSE)</f>
        <v>John</v>
      </c>
      <c r="G86" t="str">
        <f>INDEX(products!B:B, MATCH(D86, products!A:A, 0))</f>
        <v xml:space="preserve"> Donut</v>
      </c>
      <c r="H86" s="4">
        <f>VLOOKUP(orders[[#This Row],[product_id]],products[#All],7,0)</f>
        <v>40</v>
      </c>
      <c r="I86">
        <f>orders[qty]*orders[price]</f>
        <v>80</v>
      </c>
      <c r="J86">
        <f>INDEX(products!C:C,MATCH(D86,products!A:A),0)</f>
        <v>152</v>
      </c>
    </row>
    <row r="87" spans="1:10" x14ac:dyDescent="0.35">
      <c r="A87" s="2">
        <v>1517</v>
      </c>
      <c r="B87" s="1">
        <v>44974</v>
      </c>
      <c r="C87" s="2">
        <v>21</v>
      </c>
      <c r="D87" s="3">
        <v>628</v>
      </c>
      <c r="E87" s="3">
        <v>10</v>
      </c>
      <c r="F87" t="str">
        <f>VLOOKUP(C87,'customers'!A:B,2,FALSE)</f>
        <v>Lisa</v>
      </c>
      <c r="G87" t="str">
        <f>INDEX(products!B:B, MATCH(D87, products!A:A, 0))</f>
        <v>Fish</v>
      </c>
      <c r="H87" s="4">
        <f>VLOOKUP(orders[[#This Row],[product_id]],products[#All],7,0)</f>
        <v>120</v>
      </c>
      <c r="I87">
        <f>orders[qty]*orders[price]</f>
        <v>1200</v>
      </c>
      <c r="J87">
        <f>INDEX(products!C:C,MATCH(D87,products!A:A),0)</f>
        <v>41</v>
      </c>
    </row>
    <row r="88" spans="1:10" x14ac:dyDescent="0.35">
      <c r="A88" s="2">
        <v>1522</v>
      </c>
      <c r="B88" s="1">
        <v>44974</v>
      </c>
      <c r="C88" s="2">
        <v>11</v>
      </c>
      <c r="D88" s="3">
        <v>392</v>
      </c>
      <c r="E88" s="3">
        <v>4</v>
      </c>
      <c r="F88" t="str">
        <f>VLOOKUP(C88,'customers'!A:B,2,FALSE)</f>
        <v>Anthony</v>
      </c>
      <c r="G88" t="str">
        <f>INDEX(products!B:B, MATCH(D88, products!A:A, 0))</f>
        <v>Yogurt</v>
      </c>
      <c r="H88" s="4">
        <f>VLOOKUP(orders[[#This Row],[product_id]],products[#All],7,0)</f>
        <v>30</v>
      </c>
      <c r="I88">
        <f>orders[qty]*orders[price]</f>
        <v>120</v>
      </c>
      <c r="J88">
        <f>INDEX(products!C:C,MATCH(D88,products!A:A),0)</f>
        <v>131</v>
      </c>
    </row>
    <row r="89" spans="1:10" x14ac:dyDescent="0.35">
      <c r="A89" s="2">
        <v>1527</v>
      </c>
      <c r="B89" s="1">
        <v>44974</v>
      </c>
      <c r="C89" s="2">
        <v>35</v>
      </c>
      <c r="D89" s="3">
        <v>484</v>
      </c>
      <c r="E89" s="3">
        <v>6</v>
      </c>
      <c r="F89" t="str">
        <f>VLOOKUP(C89,'customers'!A:B,2,FALSE)</f>
        <v>MiKe</v>
      </c>
      <c r="G89" t="str">
        <f>INDEX(products!B:B, MATCH(D89, products!A:A, 0))</f>
        <v xml:space="preserve">          Hamburger</v>
      </c>
      <c r="H89" s="4">
        <f>VLOOKUP(orders[[#This Row],[product_id]],products[#All],7,0)</f>
        <v>70</v>
      </c>
      <c r="I89">
        <f>orders[qty]*orders[price]</f>
        <v>420</v>
      </c>
      <c r="J89">
        <f>INDEX(products!C:C,MATCH(D89,products!A:A),0)</f>
        <v>131</v>
      </c>
    </row>
    <row r="90" spans="1:10" x14ac:dyDescent="0.35">
      <c r="A90" s="2">
        <v>1533</v>
      </c>
      <c r="B90" s="1">
        <v>44974</v>
      </c>
      <c r="C90" s="2">
        <v>50</v>
      </c>
      <c r="D90" s="3">
        <v>294</v>
      </c>
      <c r="E90" s="3">
        <v>8</v>
      </c>
      <c r="F90" t="str">
        <f>VLOOKUP(C90,'customers'!A:B,2,FALSE)</f>
        <v>Bruce</v>
      </c>
      <c r="G90" t="str">
        <f>INDEX(products!B:B, MATCH(D90, products!A:A, 0))</f>
        <v>Rice</v>
      </c>
      <c r="H90" s="4">
        <f>VLOOKUP(orders[[#This Row],[product_id]],products[#All],7,0)</f>
        <v>80</v>
      </c>
      <c r="I90">
        <f>orders[qty]*orders[price]</f>
        <v>640</v>
      </c>
      <c r="J90">
        <f>INDEX(products!C:C,MATCH(D90,products!A:A),0)</f>
        <v>130</v>
      </c>
    </row>
    <row r="91" spans="1:10" x14ac:dyDescent="0.35">
      <c r="A91" s="2">
        <v>1536</v>
      </c>
      <c r="B91" s="1">
        <v>44975</v>
      </c>
      <c r="C91" s="2">
        <v>29</v>
      </c>
      <c r="D91" s="3">
        <v>392</v>
      </c>
      <c r="E91" s="3">
        <v>4</v>
      </c>
      <c r="F91" t="str">
        <f>VLOOKUP(C91,'customers'!A:B,2,FALSE)</f>
        <v>John</v>
      </c>
      <c r="G91" t="str">
        <f>INDEX(products!B:B, MATCH(D91, products!A:A, 0))</f>
        <v>Yogurt</v>
      </c>
      <c r="H91" s="4">
        <f>VLOOKUP(orders[[#This Row],[product_id]],products[#All],7,0)</f>
        <v>30</v>
      </c>
      <c r="I91">
        <f>orders[qty]*orders[price]</f>
        <v>120</v>
      </c>
      <c r="J91">
        <f>INDEX(products!C:C,MATCH(D91,products!A:A),0)</f>
        <v>131</v>
      </c>
    </row>
    <row r="92" spans="1:10" x14ac:dyDescent="0.35">
      <c r="A92" s="2">
        <v>1540</v>
      </c>
      <c r="B92" s="1">
        <v>44975</v>
      </c>
      <c r="C92" s="2">
        <v>35</v>
      </c>
      <c r="D92" s="3">
        <v>294</v>
      </c>
      <c r="E92" s="3">
        <v>5</v>
      </c>
      <c r="F92" t="str">
        <f>VLOOKUP(C92,'customers'!A:B,2,FALSE)</f>
        <v>MiKe</v>
      </c>
      <c r="G92" t="str">
        <f>INDEX(products!B:B, MATCH(D92, products!A:A, 0))</f>
        <v>Rice</v>
      </c>
      <c r="H92" s="4">
        <f>VLOOKUP(orders[[#This Row],[product_id]],products[#All],7,0)</f>
        <v>80</v>
      </c>
      <c r="I92">
        <f>orders[qty]*orders[price]</f>
        <v>400</v>
      </c>
      <c r="J92">
        <f>INDEX(products!C:C,MATCH(D92,products!A:A),0)</f>
        <v>130</v>
      </c>
    </row>
    <row r="93" spans="1:10" x14ac:dyDescent="0.35">
      <c r="A93" s="2">
        <v>1547</v>
      </c>
      <c r="B93" s="1">
        <v>44975</v>
      </c>
      <c r="C93" s="2">
        <v>34</v>
      </c>
      <c r="D93" s="3">
        <v>862</v>
      </c>
      <c r="E93" s="3">
        <v>3</v>
      </c>
      <c r="F93" t="str">
        <f>VLOOKUP(C93,'customers'!A:B,2,FALSE)</f>
        <v>Jay</v>
      </c>
      <c r="G93" t="str">
        <f>INDEX(products!B:B, MATCH(D93, products!A:A, 0))</f>
        <v>Chocolate Cake</v>
      </c>
      <c r="H93" s="4">
        <f>VLOOKUP(orders[[#This Row],[product_id]],products[#All],7,0)</f>
        <v>200</v>
      </c>
      <c r="I93">
        <f>orders[qty]*orders[price]</f>
        <v>600</v>
      </c>
      <c r="J93">
        <f>INDEX(products!C:C,MATCH(D93,products!A:A),0)</f>
        <v>250</v>
      </c>
    </row>
    <row r="94" spans="1:10" x14ac:dyDescent="0.35">
      <c r="A94" s="2">
        <v>1552</v>
      </c>
      <c r="B94" s="1">
        <v>44975</v>
      </c>
      <c r="C94" s="2">
        <v>79</v>
      </c>
      <c r="D94" s="3">
        <v>163</v>
      </c>
      <c r="E94" s="3">
        <v>3</v>
      </c>
      <c r="F94" t="str">
        <f>VLOOKUP(C94,'customers'!A:B,2,FALSE)</f>
        <v>Tim</v>
      </c>
      <c r="G94" t="str">
        <f>INDEX(products!B:B, MATCH(D94, products!A:A, 0))</f>
        <v>Grape Juice</v>
      </c>
      <c r="H94" s="4">
        <f>VLOOKUP(orders[[#This Row],[product_id]],products[#All],7,0)</f>
        <v>40</v>
      </c>
      <c r="I94">
        <f>orders[qty]*orders[price]</f>
        <v>120</v>
      </c>
      <c r="J94" t="e">
        <f>INDEX(products!C:C,MATCH(D94,products!A:A),0)</f>
        <v>#N/A</v>
      </c>
    </row>
    <row r="95" spans="1:10" x14ac:dyDescent="0.35">
      <c r="A95" s="2">
        <v>1557</v>
      </c>
      <c r="B95" s="1">
        <v>44975</v>
      </c>
      <c r="C95" s="2">
        <v>21</v>
      </c>
      <c r="D95" s="3">
        <v>628</v>
      </c>
      <c r="E95" s="3">
        <v>6</v>
      </c>
      <c r="F95" t="str">
        <f>VLOOKUP(C95,'customers'!A:B,2,FALSE)</f>
        <v>Lisa</v>
      </c>
      <c r="G95" t="str">
        <f>INDEX(products!B:B, MATCH(D95, products!A:A, 0))</f>
        <v>Fish</v>
      </c>
      <c r="H95" s="4">
        <f>VLOOKUP(orders[[#This Row],[product_id]],products[#All],7,0)</f>
        <v>120</v>
      </c>
      <c r="I95">
        <f>orders[qty]*orders[price]</f>
        <v>720</v>
      </c>
      <c r="J95">
        <f>INDEX(products!C:C,MATCH(D95,products!A:A),0)</f>
        <v>41</v>
      </c>
    </row>
    <row r="96" spans="1:10" x14ac:dyDescent="0.35">
      <c r="A96" s="2">
        <v>1569</v>
      </c>
      <c r="B96" s="1">
        <v>44976</v>
      </c>
      <c r="C96" s="2">
        <v>35</v>
      </c>
      <c r="D96" s="3">
        <v>862</v>
      </c>
      <c r="E96" s="3">
        <v>5</v>
      </c>
      <c r="F96" t="str">
        <f>VLOOKUP(C96,'customers'!A:B,2,FALSE)</f>
        <v>MiKe</v>
      </c>
      <c r="G96" t="str">
        <f>INDEX(products!B:B, MATCH(D96, products!A:A, 0))</f>
        <v>Chocolate Cake</v>
      </c>
      <c r="H96" s="4">
        <f>VLOOKUP(orders[[#This Row],[product_id]],products[#All],7,0)</f>
        <v>200</v>
      </c>
      <c r="I96">
        <f>orders[qty]*orders[price]</f>
        <v>1000</v>
      </c>
      <c r="J96">
        <f>INDEX(products!C:C,MATCH(D96,products!A:A),0)</f>
        <v>250</v>
      </c>
    </row>
    <row r="97" spans="1:10" x14ac:dyDescent="0.35">
      <c r="A97" s="2">
        <v>1572</v>
      </c>
      <c r="B97" s="1">
        <v>44976</v>
      </c>
      <c r="C97" s="2">
        <v>21</v>
      </c>
      <c r="D97" s="3">
        <v>704</v>
      </c>
      <c r="E97" s="3">
        <v>4</v>
      </c>
      <c r="F97" t="str">
        <f>VLOOKUP(C97,'customers'!A:B,2,FALSE)</f>
        <v>Lisa</v>
      </c>
      <c r="G97" t="str">
        <f>INDEX(products!B:B, MATCH(D97, products!A:A, 0))</f>
        <v>Eggs</v>
      </c>
      <c r="H97" s="4">
        <f>VLOOKUP(orders[[#This Row],[product_id]],products[#All],7,0)</f>
        <v>65</v>
      </c>
      <c r="I97">
        <f>orders[qty]*orders[price]</f>
        <v>260</v>
      </c>
      <c r="J97">
        <f>INDEX(products!C:C,MATCH(D97,products!A:A),0)</f>
        <v>155</v>
      </c>
    </row>
    <row r="98" spans="1:10" x14ac:dyDescent="0.35">
      <c r="A98" s="2">
        <v>1573</v>
      </c>
      <c r="B98" s="1">
        <v>44976</v>
      </c>
      <c r="C98" s="2">
        <v>19</v>
      </c>
      <c r="D98" s="3">
        <v>646</v>
      </c>
      <c r="E98" s="3"/>
      <c r="F98" t="str">
        <f>VLOOKUP(C98,'customers'!A:B,2,FALSE)</f>
        <v>Ahmed</v>
      </c>
      <c r="G98" t="str">
        <f>INDEX(products!B:B, MATCH(D98, products!A:A, 0))</f>
        <v xml:space="preserve">  Apple</v>
      </c>
      <c r="H98" s="4">
        <f>VLOOKUP(orders[[#This Row],[product_id]],products[#All],7,0)</f>
        <v>200</v>
      </c>
      <c r="I98">
        <f>orders[qty]*orders[price]</f>
        <v>0</v>
      </c>
      <c r="J98">
        <f>INDEX(products!C:C,MATCH(D98,products!A:A),0)</f>
        <v>41</v>
      </c>
    </row>
    <row r="99" spans="1:10" x14ac:dyDescent="0.35">
      <c r="A99" s="2">
        <v>1574</v>
      </c>
      <c r="B99" s="1">
        <v>44976</v>
      </c>
      <c r="C99" s="2">
        <v>79</v>
      </c>
      <c r="D99" s="3">
        <v>590</v>
      </c>
      <c r="E99" s="3">
        <v>2</v>
      </c>
      <c r="F99" t="str">
        <f>VLOOKUP(C99,'customers'!A:B,2,FALSE)</f>
        <v>Tim</v>
      </c>
      <c r="G99" t="str">
        <f>INDEX(products!B:B, MATCH(D99, products!A:A, 0))</f>
        <v>French Fries</v>
      </c>
      <c r="H99" s="4">
        <f>VLOOKUP(orders[[#This Row],[product_id]],products[#All],7,0)</f>
        <v>50</v>
      </c>
      <c r="I99">
        <f>orders[qty]*orders[price]</f>
        <v>100</v>
      </c>
      <c r="J99">
        <f>INDEX(products!C:C,MATCH(D99,products!A:A),0)</f>
        <v>41</v>
      </c>
    </row>
    <row r="100" spans="1:10" x14ac:dyDescent="0.35">
      <c r="A100" s="2">
        <v>1576</v>
      </c>
      <c r="B100" s="1">
        <v>44976</v>
      </c>
      <c r="C100" s="2">
        <v>11</v>
      </c>
      <c r="D100" s="3">
        <v>392</v>
      </c>
      <c r="E100" s="3">
        <v>3</v>
      </c>
      <c r="F100" t="str">
        <f>VLOOKUP(C100,'customers'!A:B,2,FALSE)</f>
        <v>Anthony</v>
      </c>
      <c r="G100" t="str">
        <f>INDEX(products!B:B, MATCH(D100, products!A:A, 0))</f>
        <v>Yogurt</v>
      </c>
      <c r="H100" s="4">
        <f>VLOOKUP(orders[[#This Row],[product_id]],products[#All],7,0)</f>
        <v>30</v>
      </c>
      <c r="I100">
        <f>orders[qty]*orders[price]</f>
        <v>90</v>
      </c>
      <c r="J100">
        <f>INDEX(products!C:C,MATCH(D100,products!A:A),0)</f>
        <v>131</v>
      </c>
    </row>
    <row r="101" spans="1:10" x14ac:dyDescent="0.35">
      <c r="A101" s="2">
        <v>1580</v>
      </c>
      <c r="B101" s="1">
        <v>44977</v>
      </c>
      <c r="C101" s="2">
        <v>14</v>
      </c>
      <c r="D101" s="3">
        <v>392</v>
      </c>
      <c r="E101" s="3">
        <v>2</v>
      </c>
      <c r="F101" t="str">
        <f>VLOOKUP(C101,'customers'!A:B,2,FALSE)</f>
        <v>Ravi</v>
      </c>
      <c r="G101" t="str">
        <f>INDEX(products!B:B, MATCH(D101, products!A:A, 0))</f>
        <v>Yogurt</v>
      </c>
      <c r="H101" s="4">
        <f>VLOOKUP(orders[[#This Row],[product_id]],products[#All],7,0)</f>
        <v>30</v>
      </c>
      <c r="I101">
        <f>orders[qty]*orders[price]</f>
        <v>60</v>
      </c>
      <c r="J101">
        <f>INDEX(products!C:C,MATCH(D101,products!A:A),0)</f>
        <v>131</v>
      </c>
    </row>
    <row r="102" spans="1:10" x14ac:dyDescent="0.35">
      <c r="A102" s="2">
        <v>1582</v>
      </c>
      <c r="B102" s="1">
        <v>44977</v>
      </c>
      <c r="C102" s="2">
        <v>35</v>
      </c>
      <c r="D102" s="3">
        <v>811</v>
      </c>
      <c r="E102" s="3">
        <v>4</v>
      </c>
      <c r="F102" t="str">
        <f>VLOOKUP(C102,'customers'!A:B,2,FALSE)</f>
        <v>MiKe</v>
      </c>
      <c r="G102" t="str">
        <f>INDEX(products!B:B, MATCH(D102, products!A:A, 0))</f>
        <v>Celery</v>
      </c>
      <c r="H102" s="4">
        <f>VLOOKUP(orders[[#This Row],[product_id]],products[#All],7,0)</f>
        <v>50</v>
      </c>
      <c r="I102">
        <f>orders[qty]*orders[price]</f>
        <v>200</v>
      </c>
      <c r="J102">
        <f>INDEX(products!C:C,MATCH(D102,products!A:A),0)</f>
        <v>250</v>
      </c>
    </row>
    <row r="103" spans="1:10" x14ac:dyDescent="0.35">
      <c r="A103" s="2">
        <v>1584</v>
      </c>
      <c r="B103" s="1">
        <v>44977</v>
      </c>
      <c r="C103" s="2">
        <v>21</v>
      </c>
      <c r="D103" s="3">
        <v>651</v>
      </c>
      <c r="E103" s="3"/>
      <c r="F103" t="str">
        <f>VLOOKUP(C103,'customers'!A:B,2,FALSE)</f>
        <v>Lisa</v>
      </c>
      <c r="G103" t="str">
        <f>INDEX(products!B:B, MATCH(D103, products!A:A, 0))</f>
        <v>Banana</v>
      </c>
      <c r="H103" s="4">
        <f>VLOOKUP(orders[[#This Row],[product_id]],products[#All],7,0)</f>
        <v>80</v>
      </c>
      <c r="I103">
        <f>orders[qty]*orders[price]</f>
        <v>0</v>
      </c>
      <c r="J103">
        <f>INDEX(products!C:C,MATCH(D103,products!A:A),0)</f>
        <v>41</v>
      </c>
    </row>
    <row r="104" spans="1:10" x14ac:dyDescent="0.35">
      <c r="A104" s="2">
        <v>1587</v>
      </c>
      <c r="B104" s="1">
        <v>44977</v>
      </c>
      <c r="C104" s="2">
        <v>11</v>
      </c>
      <c r="D104" s="3">
        <v>804</v>
      </c>
      <c r="E104" s="3">
        <v>8</v>
      </c>
      <c r="F104" t="str">
        <f>VLOOKUP(C104,'customers'!A:B,2,FALSE)</f>
        <v>Anthony</v>
      </c>
      <c r="G104" t="str">
        <f>INDEX(products!B:B, MATCH(D104, products!A:A, 0))</f>
        <v>Broccoli</v>
      </c>
      <c r="H104" s="4">
        <f>VLOOKUP(orders[[#This Row],[product_id]],products[#All],7,0)</f>
        <v>30</v>
      </c>
      <c r="I104">
        <f>orders[qty]*orders[price]</f>
        <v>240</v>
      </c>
      <c r="J104">
        <f>INDEX(products!C:C,MATCH(D104,products!A:A),0)</f>
        <v>250</v>
      </c>
    </row>
    <row r="105" spans="1:10" x14ac:dyDescent="0.35">
      <c r="A105" s="2">
        <v>1597</v>
      </c>
      <c r="B105" s="1">
        <v>44977</v>
      </c>
      <c r="C105" s="2">
        <v>29</v>
      </c>
      <c r="D105" s="3">
        <v>739</v>
      </c>
      <c r="E105" s="3">
        <v>12</v>
      </c>
      <c r="F105" t="str">
        <f>VLOOKUP(C105,'customers'!A:B,2,FALSE)</f>
        <v>John</v>
      </c>
      <c r="G105" t="str">
        <f>INDEX(products!B:B, MATCH(D105, products!A:A, 0))</f>
        <v xml:space="preserve"> Donut</v>
      </c>
      <c r="H105" s="4">
        <f>VLOOKUP(orders[[#This Row],[product_id]],products[#All],7,0)</f>
        <v>40</v>
      </c>
      <c r="I105">
        <f>orders[qty]*orders[price]</f>
        <v>480</v>
      </c>
      <c r="J105">
        <f>INDEX(products!C:C,MATCH(D105,products!A:A),0)</f>
        <v>152</v>
      </c>
    </row>
    <row r="106" spans="1:10" x14ac:dyDescent="0.35">
      <c r="A106" s="2">
        <v>1597</v>
      </c>
      <c r="B106" s="1">
        <v>44977</v>
      </c>
      <c r="C106" s="2">
        <v>29</v>
      </c>
      <c r="D106" s="3">
        <v>739</v>
      </c>
      <c r="E106" s="3">
        <v>12</v>
      </c>
      <c r="F106" t="str">
        <f>VLOOKUP(C106,'customers'!A:B,2,FALSE)</f>
        <v>John</v>
      </c>
      <c r="G106" t="str">
        <f>INDEX(products!B:B, MATCH(D106, products!A:A, 0))</f>
        <v xml:space="preserve"> Donut</v>
      </c>
      <c r="H106" s="4">
        <f>VLOOKUP(orders[[#This Row],[product_id]],products[#All],7,0)</f>
        <v>40</v>
      </c>
      <c r="I106">
        <f>orders[qty]*orders[price]</f>
        <v>480</v>
      </c>
      <c r="J106">
        <f>INDEX(products!C:C,MATCH(D106,products!A:A),0)</f>
        <v>152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CE531-CDC2-4E6E-B0DC-961D95C09F3D}">
  <dimension ref="A1:G21"/>
  <sheetViews>
    <sheetView workbookViewId="0">
      <selection activeCell="G2" sqref="G2"/>
    </sheetView>
  </sheetViews>
  <sheetFormatPr defaultRowHeight="14.5" x14ac:dyDescent="0.35"/>
  <cols>
    <col min="1" max="1" width="13.453125" style="2" customWidth="1"/>
    <col min="2" max="2" width="17.1796875" customWidth="1"/>
    <col min="3" max="3" width="11.54296875" customWidth="1"/>
    <col min="4" max="4" width="13.26953125" customWidth="1"/>
    <col min="5" max="5" width="9.54296875" customWidth="1"/>
    <col min="7" max="7" width="18.54296875" style="2" customWidth="1"/>
    <col min="8" max="8" width="8.81640625" customWidth="1"/>
  </cols>
  <sheetData>
    <row r="1" spans="1:7" x14ac:dyDescent="0.35">
      <c r="A1" s="2" t="s">
        <v>3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s="2" t="s">
        <v>32</v>
      </c>
    </row>
    <row r="2" spans="1:7" x14ac:dyDescent="0.35">
      <c r="A2" s="2">
        <v>646</v>
      </c>
      <c r="B2" t="s">
        <v>10</v>
      </c>
      <c r="C2">
        <v>52</v>
      </c>
      <c r="D2">
        <v>0.26</v>
      </c>
      <c r="E2">
        <v>13.8</v>
      </c>
      <c r="F2">
        <v>0.17</v>
      </c>
      <c r="G2" s="2">
        <v>200</v>
      </c>
    </row>
    <row r="3" spans="1:7" x14ac:dyDescent="0.35">
      <c r="A3" s="2">
        <v>651</v>
      </c>
      <c r="B3" t="s">
        <v>11</v>
      </c>
      <c r="C3">
        <v>89</v>
      </c>
      <c r="D3">
        <v>1.0900000000000001</v>
      </c>
      <c r="E3">
        <v>22.8</v>
      </c>
      <c r="F3">
        <v>0.33</v>
      </c>
      <c r="G3" s="2">
        <v>80</v>
      </c>
    </row>
    <row r="4" spans="1:7" x14ac:dyDescent="0.35">
      <c r="A4" s="2">
        <v>886</v>
      </c>
      <c r="B4" t="s">
        <v>12</v>
      </c>
      <c r="C4">
        <v>322</v>
      </c>
      <c r="D4">
        <v>4.0199999999999996</v>
      </c>
      <c r="E4">
        <v>17.149999999999999</v>
      </c>
      <c r="F4">
        <v>29.47</v>
      </c>
      <c r="G4" s="2">
        <v>100</v>
      </c>
    </row>
    <row r="5" spans="1:7" x14ac:dyDescent="0.35">
      <c r="A5" s="2">
        <v>804</v>
      </c>
      <c r="B5" t="s">
        <v>13</v>
      </c>
      <c r="C5">
        <v>34</v>
      </c>
      <c r="D5">
        <v>2.82</v>
      </c>
      <c r="E5">
        <v>6.64</v>
      </c>
      <c r="F5">
        <v>0.37</v>
      </c>
      <c r="G5" s="2">
        <v>30</v>
      </c>
    </row>
    <row r="6" spans="1:7" x14ac:dyDescent="0.35">
      <c r="A6" s="2">
        <v>594</v>
      </c>
      <c r="B6" t="s">
        <v>14</v>
      </c>
      <c r="C6">
        <v>335</v>
      </c>
      <c r="D6">
        <v>31.02</v>
      </c>
      <c r="E6">
        <v>0</v>
      </c>
      <c r="F6">
        <v>23.11</v>
      </c>
      <c r="G6" s="2">
        <v>250</v>
      </c>
    </row>
    <row r="7" spans="1:7" x14ac:dyDescent="0.35">
      <c r="A7" s="2">
        <v>628</v>
      </c>
      <c r="B7" t="s">
        <v>15</v>
      </c>
      <c r="C7">
        <v>206</v>
      </c>
      <c r="D7">
        <v>20.260000000000002</v>
      </c>
      <c r="E7">
        <v>0</v>
      </c>
      <c r="F7">
        <v>13.92</v>
      </c>
      <c r="G7" s="2">
        <v>120</v>
      </c>
    </row>
    <row r="8" spans="1:7" x14ac:dyDescent="0.35">
      <c r="A8" s="2">
        <v>294</v>
      </c>
      <c r="B8" t="s">
        <v>16</v>
      </c>
      <c r="C8">
        <v>130</v>
      </c>
      <c r="D8">
        <v>2.69</v>
      </c>
      <c r="E8">
        <v>28.73</v>
      </c>
      <c r="F8">
        <v>0.28000000000000003</v>
      </c>
      <c r="G8" s="2">
        <v>80</v>
      </c>
    </row>
    <row r="9" spans="1:7" x14ac:dyDescent="0.35">
      <c r="A9" s="2">
        <v>328</v>
      </c>
      <c r="B9" t="s">
        <v>17</v>
      </c>
      <c r="C9">
        <v>131</v>
      </c>
      <c r="D9">
        <v>5.47</v>
      </c>
      <c r="E9">
        <v>25.77</v>
      </c>
      <c r="F9">
        <v>1.03</v>
      </c>
      <c r="G9" s="2">
        <v>60</v>
      </c>
    </row>
    <row r="10" spans="1:7" x14ac:dyDescent="0.35">
      <c r="A10" s="2">
        <v>521</v>
      </c>
      <c r="B10" t="s">
        <v>18</v>
      </c>
      <c r="C10">
        <v>41</v>
      </c>
      <c r="D10">
        <v>0.93</v>
      </c>
      <c r="E10">
        <v>9.58</v>
      </c>
      <c r="F10">
        <v>0.24</v>
      </c>
      <c r="G10" s="2">
        <v>40</v>
      </c>
    </row>
    <row r="11" spans="1:7" x14ac:dyDescent="0.35">
      <c r="A11" s="2">
        <v>811</v>
      </c>
      <c r="B11" t="s">
        <v>19</v>
      </c>
      <c r="C11">
        <v>16</v>
      </c>
      <c r="D11">
        <v>0.69</v>
      </c>
      <c r="E11">
        <v>3.06</v>
      </c>
      <c r="F11">
        <v>0.17</v>
      </c>
      <c r="G11" s="2">
        <v>50</v>
      </c>
    </row>
    <row r="12" spans="1:7" x14ac:dyDescent="0.35">
      <c r="A12" s="2">
        <v>797</v>
      </c>
      <c r="B12" t="s">
        <v>20</v>
      </c>
      <c r="C12">
        <v>402</v>
      </c>
      <c r="D12">
        <v>25.09</v>
      </c>
      <c r="E12">
        <v>3.09</v>
      </c>
      <c r="F12">
        <v>33.82</v>
      </c>
      <c r="G12" s="2">
        <v>80</v>
      </c>
    </row>
    <row r="13" spans="1:7" x14ac:dyDescent="0.35">
      <c r="A13" s="2">
        <v>862</v>
      </c>
      <c r="B13" t="s">
        <v>21</v>
      </c>
      <c r="C13">
        <v>452</v>
      </c>
      <c r="D13">
        <v>3.75</v>
      </c>
      <c r="E13">
        <v>44.61</v>
      </c>
      <c r="F13">
        <v>29.11</v>
      </c>
      <c r="G13" s="2">
        <v>200</v>
      </c>
    </row>
    <row r="14" spans="1:7" x14ac:dyDescent="0.35">
      <c r="A14" s="2">
        <v>392</v>
      </c>
      <c r="B14" t="s">
        <v>22</v>
      </c>
      <c r="C14">
        <v>118</v>
      </c>
      <c r="D14">
        <v>6.38</v>
      </c>
      <c r="E14">
        <v>14.02</v>
      </c>
      <c r="F14">
        <v>4.0999999999999996</v>
      </c>
      <c r="G14" s="2">
        <v>30</v>
      </c>
    </row>
    <row r="15" spans="1:7" x14ac:dyDescent="0.35">
      <c r="A15" s="2">
        <v>739</v>
      </c>
      <c r="B15" t="s">
        <v>23</v>
      </c>
      <c r="C15">
        <v>452</v>
      </c>
      <c r="D15">
        <v>4.09</v>
      </c>
      <c r="E15">
        <v>50.44</v>
      </c>
      <c r="F15">
        <v>27.51</v>
      </c>
      <c r="G15" s="2">
        <v>40</v>
      </c>
    </row>
    <row r="16" spans="1:7" x14ac:dyDescent="0.35">
      <c r="A16" s="2">
        <v>704</v>
      </c>
      <c r="B16" t="s">
        <v>24</v>
      </c>
      <c r="C16">
        <v>155</v>
      </c>
      <c r="D16">
        <v>12.58</v>
      </c>
      <c r="E16">
        <v>0.77</v>
      </c>
      <c r="F16">
        <v>10.61</v>
      </c>
      <c r="G16" s="2">
        <v>65</v>
      </c>
    </row>
    <row r="17" spans="1:7" x14ac:dyDescent="0.35">
      <c r="A17" s="2">
        <v>590</v>
      </c>
      <c r="B17" t="s">
        <v>25</v>
      </c>
      <c r="C17">
        <v>365</v>
      </c>
      <c r="D17">
        <v>4.34</v>
      </c>
      <c r="E17">
        <v>49.74</v>
      </c>
      <c r="F17">
        <v>17.53</v>
      </c>
      <c r="G17" s="2">
        <v>50</v>
      </c>
    </row>
    <row r="18" spans="1:7" x14ac:dyDescent="0.35">
      <c r="A18" s="2">
        <v>600</v>
      </c>
      <c r="B18" t="s">
        <v>26</v>
      </c>
      <c r="C18">
        <v>42</v>
      </c>
      <c r="D18">
        <v>0.79</v>
      </c>
      <c r="E18">
        <v>10.66</v>
      </c>
      <c r="F18">
        <v>0.14000000000000001</v>
      </c>
      <c r="G18" s="2">
        <v>20</v>
      </c>
    </row>
    <row r="19" spans="1:7" x14ac:dyDescent="0.35">
      <c r="A19" s="2">
        <v>163</v>
      </c>
      <c r="B19" t="s">
        <v>27</v>
      </c>
      <c r="C19">
        <v>152</v>
      </c>
      <c r="D19">
        <v>1.72</v>
      </c>
      <c r="E19">
        <v>37.130000000000003</v>
      </c>
      <c r="F19">
        <v>0.37</v>
      </c>
      <c r="G19" s="2">
        <v>40</v>
      </c>
    </row>
    <row r="20" spans="1:7" x14ac:dyDescent="0.35">
      <c r="A20" s="2">
        <v>794</v>
      </c>
      <c r="B20" t="s">
        <v>28</v>
      </c>
      <c r="C20">
        <v>440</v>
      </c>
      <c r="D20">
        <v>21.73</v>
      </c>
      <c r="E20">
        <v>33.46</v>
      </c>
      <c r="F20">
        <v>26.27</v>
      </c>
      <c r="G20" s="2">
        <v>100</v>
      </c>
    </row>
    <row r="21" spans="1:7" x14ac:dyDescent="0.35">
      <c r="A21" s="2">
        <v>484</v>
      </c>
      <c r="B21" t="s">
        <v>29</v>
      </c>
      <c r="C21">
        <v>250</v>
      </c>
      <c r="D21">
        <v>13.29</v>
      </c>
      <c r="E21">
        <v>17.32</v>
      </c>
      <c r="F21">
        <v>14.62</v>
      </c>
      <c r="G21" s="2">
        <v>70</v>
      </c>
    </row>
  </sheetData>
  <conditionalFormatting sqref="A2:A21">
    <cfRule type="duplicateValues" dxfId="4" priority="1"/>
    <cfRule type="duplicateValues" dxfId="3" priority="2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74624-A606-4ECE-AD8A-312B32F1DD2F}">
  <dimension ref="A1:B11"/>
  <sheetViews>
    <sheetView workbookViewId="0">
      <selection activeCell="C6" sqref="C6"/>
    </sheetView>
  </sheetViews>
  <sheetFormatPr defaultRowHeight="14.5" x14ac:dyDescent="0.35"/>
  <cols>
    <col min="1" max="1" width="17.26953125" style="2" customWidth="1"/>
    <col min="2" max="2" width="16.81640625" bestFit="1" customWidth="1"/>
  </cols>
  <sheetData>
    <row r="1" spans="1:2" x14ac:dyDescent="0.35">
      <c r="A1" s="2" t="s">
        <v>2</v>
      </c>
      <c r="B1" t="s">
        <v>33</v>
      </c>
    </row>
    <row r="2" spans="1:2" x14ac:dyDescent="0.35">
      <c r="A2" s="2">
        <v>34</v>
      </c>
      <c r="B2" t="s">
        <v>34</v>
      </c>
    </row>
    <row r="3" spans="1:2" x14ac:dyDescent="0.35">
      <c r="A3" s="2">
        <v>29</v>
      </c>
      <c r="B3" t="s">
        <v>35</v>
      </c>
    </row>
    <row r="4" spans="1:2" x14ac:dyDescent="0.35">
      <c r="A4" s="2">
        <v>79</v>
      </c>
      <c r="B4" t="s">
        <v>36</v>
      </c>
    </row>
    <row r="5" spans="1:2" x14ac:dyDescent="0.35">
      <c r="A5" s="2">
        <v>14</v>
      </c>
      <c r="B5" t="s">
        <v>37</v>
      </c>
    </row>
    <row r="6" spans="1:2" x14ac:dyDescent="0.35">
      <c r="A6" s="2">
        <v>21</v>
      </c>
      <c r="B6" t="s">
        <v>30</v>
      </c>
    </row>
    <row r="7" spans="1:2" x14ac:dyDescent="0.35">
      <c r="A7" s="2">
        <v>19</v>
      </c>
      <c r="B7" t="s">
        <v>38</v>
      </c>
    </row>
    <row r="8" spans="1:2" x14ac:dyDescent="0.35">
      <c r="A8" s="2">
        <v>35</v>
      </c>
      <c r="B8" t="s">
        <v>31</v>
      </c>
    </row>
    <row r="9" spans="1:2" x14ac:dyDescent="0.35">
      <c r="A9" s="2">
        <v>50</v>
      </c>
      <c r="B9" t="s">
        <v>39</v>
      </c>
    </row>
    <row r="10" spans="1:2" x14ac:dyDescent="0.35">
      <c r="A10" s="2">
        <v>35</v>
      </c>
      <c r="B10" t="s">
        <v>40</v>
      </c>
    </row>
    <row r="11" spans="1:2" x14ac:dyDescent="0.35">
      <c r="A11" s="2">
        <v>11</v>
      </c>
      <c r="B11" t="s">
        <v>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1564f6-0349-4cc5-b00d-7cf3ba42f824">
      <Terms xmlns="http://schemas.microsoft.com/office/infopath/2007/PartnerControls"/>
    </lcf76f155ced4ddcb4097134ff3c332f>
    <TaxCatchAll xmlns="46297aa2-77d1-4586-9726-07d56a535ee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46EAF7-E241-4A90-B57E-D13F3C41268F}">
  <ds:schemaRefs>
    <ds:schemaRef ds:uri="http://schemas.microsoft.com/office/2006/metadata/properties"/>
    <ds:schemaRef ds:uri="http://schemas.microsoft.com/office/infopath/2007/PartnerControls"/>
    <ds:schemaRef ds:uri="631564f6-0349-4cc5-b00d-7cf3ba42f824"/>
    <ds:schemaRef ds:uri="46297aa2-77d1-4586-9726-07d56a535ee7"/>
  </ds:schemaRefs>
</ds:datastoreItem>
</file>

<file path=customXml/itemProps2.xml><?xml version="1.0" encoding="utf-8"?>
<ds:datastoreItem xmlns:ds="http://schemas.openxmlformats.org/officeDocument/2006/customXml" ds:itemID="{6CAE54E1-8FDB-4657-88E6-32BDE4D9C0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C62C7D-DA10-4966-8738-F2BFB98DD2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piviot table of orders</vt:lpstr>
      <vt:lpstr>orders</vt:lpstr>
      <vt:lpstr>products</vt:lpstr>
      <vt:lpstr>customers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KIRAN</dc:creator>
  <cp:keywords/>
  <dc:description/>
  <cp:lastModifiedBy>Axiora User-09</cp:lastModifiedBy>
  <cp:revision/>
  <dcterms:created xsi:type="dcterms:W3CDTF">2023-03-21T06:16:01Z</dcterms:created>
  <dcterms:modified xsi:type="dcterms:W3CDTF">2026-03-17T03:59:22Z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0x010100686C0266E115364AA9B96DE5BECF7DB6</vt:lpwstr>
  </property>
  <property fmtid="{D5CDD505-2E9C-101B-9397-08002B2CF9AE}" pid="3" name="MediaServiceImageTags">
    <vt:lpwstr/>
  </property>
</Properties>
</file>